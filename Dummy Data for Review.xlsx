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27D4818-916C-4665-9A9F-9DDC46BF9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 Balance" sheetId="1" r:id="rId1"/>
  </sheets>
  <definedNames>
    <definedName name="_xlnm._FilterDatabase" localSheetId="0" hidden="1">'Trial Balance'!$A$7:$K$161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1" i="1" l="1"/>
  <c r="M110" i="1"/>
  <c r="L110" i="1"/>
  <c r="L81" i="1"/>
  <c r="M83" i="1"/>
  <c r="L83" i="1"/>
  <c r="N83" i="1" s="1"/>
  <c r="M93" i="1"/>
  <c r="L93" i="1"/>
  <c r="N93" i="1" s="1"/>
  <c r="L103" i="1"/>
  <c r="M103" i="1"/>
  <c r="J71" i="1"/>
  <c r="H71" i="1"/>
  <c r="F71" i="1"/>
  <c r="D71" i="1"/>
  <c r="B71" i="1"/>
  <c r="K43" i="1"/>
  <c r="I43" i="1"/>
  <c r="G43" i="1"/>
  <c r="E43" i="1"/>
  <c r="C43" i="1"/>
  <c r="N103" i="1" l="1"/>
  <c r="N81" i="1"/>
  <c r="N110" i="1"/>
</calcChain>
</file>

<file path=xl/sharedStrings.xml><?xml version="1.0" encoding="utf-8"?>
<sst xmlns="http://schemas.openxmlformats.org/spreadsheetml/2006/main" count="186" uniqueCount="168">
  <si>
    <t>Trial Balance</t>
  </si>
  <si>
    <t/>
  </si>
  <si>
    <t>Particulars</t>
  </si>
  <si>
    <t>1-Apr-24 to 30-Apr-24</t>
  </si>
  <si>
    <t>1-May-24 to 31-May-24</t>
  </si>
  <si>
    <t>1-Jun-24 to 30-Jun-24</t>
  </si>
  <si>
    <t>1-Jul-24 to 31-Jul-24</t>
  </si>
  <si>
    <t>1-Aug-24 to 31-Aug-24</t>
  </si>
  <si>
    <t>Closing Balance</t>
  </si>
  <si>
    <t>Debit</t>
  </si>
  <si>
    <t>Credit</t>
  </si>
  <si>
    <t>Capital Account</t>
  </si>
  <si>
    <t>Opening Adjustment</t>
  </si>
  <si>
    <t>Loans (Liability)</t>
  </si>
  <si>
    <t>Unsecured Loans</t>
  </si>
  <si>
    <t>Current Liabilities</t>
  </si>
  <si>
    <t>Duties &amp; Taxes</t>
  </si>
  <si>
    <t>Input Receivable</t>
  </si>
  <si>
    <t>CGST  Input</t>
  </si>
  <si>
    <t>IGST Input</t>
  </si>
  <si>
    <t>MACHINERY PARTS IGST TAX 18%</t>
  </si>
  <si>
    <t>PURCHASE CGST 9%</t>
  </si>
  <si>
    <t>PURCHASE SGST 9%</t>
  </si>
  <si>
    <t>SGST Input</t>
  </si>
  <si>
    <t>Output</t>
  </si>
  <si>
    <t>CGST</t>
  </si>
  <si>
    <t>IGST</t>
  </si>
  <si>
    <t>SGST</t>
  </si>
  <si>
    <t>TDS Payable</t>
  </si>
  <si>
    <t>TDS 194C Contractor Company</t>
  </si>
  <si>
    <t>TDS 194C Contractor Non Company</t>
  </si>
  <si>
    <t>TDS Professional 194J</t>
  </si>
  <si>
    <t>Provisions</t>
  </si>
  <si>
    <t>AUDIT FEES PAYABLE</t>
  </si>
  <si>
    <t>EPF-Administrative Charges Payable</t>
  </si>
  <si>
    <t>EPF PAYABLE</t>
  </si>
  <si>
    <t>ESIC PAYABLE</t>
  </si>
  <si>
    <t>LWF Payble</t>
  </si>
  <si>
    <t>MANUFACTURING EXPENSES PAYABLE</t>
  </si>
  <si>
    <t>Provision for Electricity Expenses</t>
  </si>
  <si>
    <t>PROVISION FOR EXPENSES</t>
  </si>
  <si>
    <t>Provision for Tax</t>
  </si>
  <si>
    <t>SALARY PAYABLE</t>
  </si>
  <si>
    <t>Sundry Creditors</t>
  </si>
  <si>
    <t>HDFC Credit Card 2140</t>
  </si>
  <si>
    <t>Fixed Assets</t>
  </si>
  <si>
    <t>Accumulated Depreciation</t>
  </si>
  <si>
    <t>BIKE</t>
  </si>
  <si>
    <t>CAR(ISUZU)</t>
  </si>
  <si>
    <t>Chapati Making Machine</t>
  </si>
  <si>
    <t>COOLER</t>
  </si>
  <si>
    <t>DUSTBIN 120LTR</t>
  </si>
  <si>
    <t>FURNITURE IGST 18%</t>
  </si>
  <si>
    <t>LUMINOUS BATTERY</t>
  </si>
  <si>
    <t>MACHINERY IGST 18%</t>
  </si>
  <si>
    <t>MOBILE</t>
  </si>
  <si>
    <t>PUMP</t>
  </si>
  <si>
    <t>RO PLANT IGST 18%</t>
  </si>
  <si>
    <t>SAREGAMA CARVAAN GST 18%</t>
  </si>
  <si>
    <t>TABLE</t>
  </si>
  <si>
    <t>Weighing Machine</t>
  </si>
  <si>
    <t>Investments</t>
  </si>
  <si>
    <t>Investment in FDR</t>
  </si>
  <si>
    <t>Kotak  Mutual Fund</t>
  </si>
  <si>
    <t>Motilal Oswal Financial Services Ltd</t>
  </si>
  <si>
    <t>Nippon Mutual Fund</t>
  </si>
  <si>
    <t>TPT Investment Management (TPTIM)</t>
  </si>
  <si>
    <t>Current Assets</t>
  </si>
  <si>
    <t>Opening Stock</t>
  </si>
  <si>
    <t>Loans &amp; Advances (Asset)</t>
  </si>
  <si>
    <t>Advance Salary</t>
  </si>
  <si>
    <t>Sundry Debtors</t>
  </si>
  <si>
    <t>Cash-in-Hand</t>
  </si>
  <si>
    <t>Cash</t>
  </si>
  <si>
    <t>Bank Accounts</t>
  </si>
  <si>
    <t>HDFC BANK</t>
  </si>
  <si>
    <t>Accrued Income on FDR</t>
  </si>
  <si>
    <t>ADVANCE TAX</t>
  </si>
  <si>
    <t>SECURITY DEPOSIT - IOC APPARELS AND HCG GAS</t>
  </si>
  <si>
    <t>TCS</t>
  </si>
  <si>
    <t>TDS</t>
  </si>
  <si>
    <t>Sales Accounts</t>
  </si>
  <si>
    <t>Un Exempt Sales A/c</t>
  </si>
  <si>
    <t>Purchase Accounts</t>
  </si>
  <si>
    <t>DISCOUNT REBATE</t>
  </si>
  <si>
    <t>DISCOUNT RECEIVED</t>
  </si>
  <si>
    <t>PURCHASE GST 18%</t>
  </si>
  <si>
    <t>PURCHASE GST 28%</t>
  </si>
  <si>
    <t>PURCHASE GST 5%</t>
  </si>
  <si>
    <t>PURCHASE GST TAX FREE</t>
  </si>
  <si>
    <t>PURCHASE IGST 12%</t>
  </si>
  <si>
    <t>PURCHASE IGST 18%</t>
  </si>
  <si>
    <t>PURCHASE IGST 5%</t>
  </si>
  <si>
    <t>Expenses (Direct) (Direct Expenses)</t>
  </si>
  <si>
    <t>DELIVERY CHARGES</t>
  </si>
  <si>
    <t>Electricity Expense</t>
  </si>
  <si>
    <t>FREIGHT AND CARTAGE</t>
  </si>
  <si>
    <t>FREIGHT AND CARTAGE IGST 12%</t>
  </si>
  <si>
    <t>GAS EXPENSES</t>
  </si>
  <si>
    <t>GAS EXPENSES IGST 18%</t>
  </si>
  <si>
    <t>HR SERVICES (MANPOWER SERVICES) GST 18%</t>
  </si>
  <si>
    <t>Labour Charges  (Atta Unload)</t>
  </si>
  <si>
    <t>Labour on hire</t>
  </si>
  <si>
    <t>Income (Indirect) (Indirect Incomes)</t>
  </si>
  <si>
    <t>Cartage Charges</t>
  </si>
  <si>
    <t>Cash Discount</t>
  </si>
  <si>
    <t>Interest Income</t>
  </si>
  <si>
    <t>Interest on FDR- 50301072325452</t>
  </si>
  <si>
    <t>Interest on Income Tax Refund</t>
  </si>
  <si>
    <t>Misc Receipt</t>
  </si>
  <si>
    <t>Expenses (Indirect) (Indirect Expenses)</t>
  </si>
  <si>
    <t>Employee Expenses</t>
  </si>
  <si>
    <t>ADMINISTRATION CHARGES</t>
  </si>
  <si>
    <t>DIWALI BONUS</t>
  </si>
  <si>
    <t>EDLI Charges</t>
  </si>
  <si>
    <t>EPF</t>
  </si>
  <si>
    <t>ESIC</t>
  </si>
  <si>
    <t>LWF</t>
  </si>
  <si>
    <t>Recruitment Expenses</t>
  </si>
  <si>
    <t>SALARY</t>
  </si>
  <si>
    <t>STAFF WELFARE</t>
  </si>
  <si>
    <t>ACCOUNTING CHARGES</t>
  </si>
  <si>
    <t>AUDIT FEES</t>
  </si>
  <si>
    <t>BAD DEBTS</t>
  </si>
  <si>
    <t>BANK CHARGES</t>
  </si>
  <si>
    <t>BUSINESS PROMOTION GST18%</t>
  </si>
  <si>
    <t>COMPUTER REPAIR AND MANITANCE</t>
  </si>
  <si>
    <t>DEPRECIATION</t>
  </si>
  <si>
    <t>FACTORY REPAIR &amp; MAINTANCE</t>
  </si>
  <si>
    <t>Fees &amp; Subscription</t>
  </si>
  <si>
    <t>FUEL EXEPENSES</t>
  </si>
  <si>
    <t>GENERAL EXPENSES</t>
  </si>
  <si>
    <t>Income Tax Expenses</t>
  </si>
  <si>
    <t>INSURANCE</t>
  </si>
  <si>
    <t>Interest on TDS Payable</t>
  </si>
  <si>
    <t>LICENCE</t>
  </si>
  <si>
    <t>MACHINERY PARTS IGST 18%</t>
  </si>
  <si>
    <t>MACHINERY REPAIR &amp; MAINTANCE</t>
  </si>
  <si>
    <t>Medicine</t>
  </si>
  <si>
    <t>MISC EXPENSES</t>
  </si>
  <si>
    <t>Office Expenses</t>
  </si>
  <si>
    <t>Office Maitenance</t>
  </si>
  <si>
    <t>OFFICE REPAIR &amp; MAINTANCE</t>
  </si>
  <si>
    <t>OFFICE REPAIR &amp; MAINTANCE GST 18%</t>
  </si>
  <si>
    <t>OFFICE REPAIR &amp; MAINTANCE IGST 18%</t>
  </si>
  <si>
    <t>Phone Pay Transaction Charges</t>
  </si>
  <si>
    <t>PRINTING &amp; STATIONARY</t>
  </si>
  <si>
    <t>Professional Charges</t>
  </si>
  <si>
    <t>Rent</t>
  </si>
  <si>
    <t>Roundoff</t>
  </si>
  <si>
    <t>SOFTWARE EXPNESES IGST 18%</t>
  </si>
  <si>
    <t>Staff Insurance</t>
  </si>
  <si>
    <t>Tea Exp</t>
  </si>
  <si>
    <t>Telephone Expense</t>
  </si>
  <si>
    <t>Traveling &amp; Conveyance</t>
  </si>
  <si>
    <t>Vehicle Insurance</t>
  </si>
  <si>
    <t>VEHICLE REPAIR &amp; MAINTANCE</t>
  </si>
  <si>
    <t>WATER EXPENSES</t>
  </si>
  <si>
    <t>WEBSITE EXPENSES</t>
  </si>
  <si>
    <t>Write Off Expenses</t>
  </si>
  <si>
    <t>Profit &amp; Loss A/c</t>
  </si>
  <si>
    <t>Grand Total</t>
  </si>
  <si>
    <t>Sample Company Private Limited</t>
  </si>
  <si>
    <t>Sample Company Private Limited - (from 1-Apr-24)</t>
  </si>
  <si>
    <t>FSSAI NUMBER : 10819</t>
  </si>
  <si>
    <t>MY FACTORY (DELHI)`2</t>
  </si>
  <si>
    <t>MEHTA CAPITAL ACCOUNT</t>
  </si>
  <si>
    <t>A.M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</si>
</sst>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"/>
    <numFmt numFmtId="166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horizontal="left" vertical="top" indent="3"/>
    </xf>
    <xf numFmtId="49" fontId="3" fillId="0" borderId="8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indent="3"/>
    </xf>
    <xf numFmtId="164" fontId="6" fillId="0" borderId="4" xfId="0" applyNumberFormat="1" applyFont="1" applyBorder="1" applyAlignment="1">
      <alignment horizontal="right" vertical="top"/>
    </xf>
    <xf numFmtId="164" fontId="6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164" fontId="6" fillId="0" borderId="5" xfId="0" applyNumberFormat="1" applyFont="1" applyBorder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6" fillId="0" borderId="7" xfId="0" applyNumberFormat="1" applyFont="1" applyBorder="1" applyAlignment="1">
      <alignment horizontal="right" vertical="top"/>
    </xf>
    <xf numFmtId="165" fontId="6" fillId="0" borderId="3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indent="4"/>
    </xf>
    <xf numFmtId="165" fontId="3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4" fontId="3" fillId="0" borderId="3" xfId="0" applyNumberFormat="1" applyFont="1" applyBorder="1" applyAlignment="1">
      <alignment horizontal="right" vertical="top"/>
    </xf>
    <xf numFmtId="164" fontId="6" fillId="0" borderId="3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indent="5"/>
    </xf>
    <xf numFmtId="165" fontId="3" fillId="0" borderId="5" xfId="0" applyNumberFormat="1" applyFont="1" applyBorder="1" applyAlignment="1">
      <alignment horizontal="right" vertical="top"/>
    </xf>
    <xf numFmtId="165" fontId="6" fillId="0" borderId="5" xfId="0" applyNumberFormat="1" applyFont="1" applyBorder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8"/>
    </xf>
    <xf numFmtId="49" fontId="6" fillId="0" borderId="0" xfId="0" applyNumberFormat="1" applyFont="1" applyAlignment="1">
      <alignment horizontal="left" vertical="top" indent="7"/>
    </xf>
    <xf numFmtId="165" fontId="6" fillId="0" borderId="6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4" fontId="6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4"/>
    </xf>
    <xf numFmtId="49" fontId="3" fillId="0" borderId="0" xfId="0" applyNumberFormat="1" applyFont="1" applyAlignment="1">
      <alignment horizontal="left" vertical="top" indent="2"/>
    </xf>
    <xf numFmtId="49" fontId="6" fillId="0" borderId="0" xfId="0" applyNumberFormat="1" applyFont="1" applyAlignment="1">
      <alignment horizontal="left" vertical="top" indent="6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indent="2"/>
    </xf>
    <xf numFmtId="164" fontId="6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3"/>
    </xf>
    <xf numFmtId="166" fontId="0" fillId="0" borderId="0" xfId="1" applyNumberFormat="1" applyFont="1"/>
    <xf numFmtId="2" fontId="0" fillId="0" borderId="0" xfId="0" applyNumberFormat="1"/>
    <xf numFmtId="2" fontId="8" fillId="2" borderId="0" xfId="0" applyNumberFormat="1" applyFont="1" applyFill="1"/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9" sqref="A9"/>
    </sheetView>
  </sheetViews>
  <sheetFormatPr defaultRowHeight="14.4" x14ac:dyDescent="0.3"/>
  <cols>
    <col min="1" max="1" width="39.88671875" customWidth="1"/>
    <col min="2" max="3" width="12.33203125" bestFit="1" customWidth="1"/>
    <col min="4" max="4" width="10.5546875" bestFit="1" customWidth="1"/>
    <col min="5" max="5" width="11.33203125" bestFit="1" customWidth="1"/>
    <col min="6" max="6" width="10.109375" bestFit="1" customWidth="1"/>
    <col min="7" max="7" width="11.33203125" bestFit="1" customWidth="1"/>
    <col min="8" max="8" width="10.5546875" bestFit="1" customWidth="1"/>
    <col min="9" max="9" width="12.33203125" bestFit="1" customWidth="1"/>
    <col min="10" max="10" width="10.109375" bestFit="1" customWidth="1"/>
    <col min="11" max="11" width="12.33203125" bestFit="1" customWidth="1"/>
    <col min="13" max="13" width="11.5546875" bestFit="1" customWidth="1"/>
    <col min="14" max="14" width="12.21875" bestFit="1" customWidth="1"/>
  </cols>
  <sheetData>
    <row r="1" spans="1:11" ht="15.6" x14ac:dyDescent="0.3">
      <c r="A1" s="78" t="s">
        <v>162</v>
      </c>
      <c r="B1" s="78"/>
      <c r="C1" s="78"/>
      <c r="D1" s="1"/>
      <c r="E1" s="1"/>
      <c r="F1" s="1"/>
      <c r="G1" s="1"/>
      <c r="H1" s="1"/>
      <c r="I1" s="1"/>
      <c r="J1" s="1"/>
      <c r="K1" s="1"/>
    </row>
    <row r="2" spans="1:11" x14ac:dyDescent="0.3">
      <c r="A2" s="79" t="s">
        <v>164</v>
      </c>
      <c r="B2" s="79"/>
      <c r="C2" s="79"/>
      <c r="D2" s="1"/>
      <c r="E2" s="1"/>
      <c r="F2" s="1"/>
      <c r="G2" s="1"/>
      <c r="H2" s="1"/>
      <c r="I2" s="1"/>
      <c r="J2" s="1"/>
      <c r="K2" s="1"/>
    </row>
    <row r="3" spans="1:11" ht="15.6" x14ac:dyDescent="0.3">
      <c r="A3" s="80" t="s">
        <v>0</v>
      </c>
      <c r="B3" s="80"/>
      <c r="C3" s="80"/>
      <c r="D3" s="1"/>
      <c r="E3" s="1"/>
      <c r="F3" s="1"/>
      <c r="G3" s="1"/>
      <c r="H3" s="1"/>
      <c r="I3" s="1"/>
      <c r="J3" s="1"/>
      <c r="K3" s="1"/>
    </row>
    <row r="4" spans="1:11" x14ac:dyDescent="0.3">
      <c r="A4" s="2" t="s">
        <v>1</v>
      </c>
      <c r="B4" s="76" t="s">
        <v>163</v>
      </c>
      <c r="C4" s="77"/>
      <c r="D4" s="74" t="s">
        <v>163</v>
      </c>
      <c r="E4" s="75"/>
      <c r="F4" s="76" t="s">
        <v>163</v>
      </c>
      <c r="G4" s="77"/>
      <c r="H4" s="74" t="s">
        <v>163</v>
      </c>
      <c r="I4" s="75"/>
      <c r="J4" s="76" t="s">
        <v>163</v>
      </c>
      <c r="K4" s="77"/>
    </row>
    <row r="5" spans="1:11" x14ac:dyDescent="0.3">
      <c r="A5" s="3" t="s">
        <v>2</v>
      </c>
      <c r="B5" s="72" t="s">
        <v>3</v>
      </c>
      <c r="C5" s="73"/>
      <c r="D5" s="70" t="s">
        <v>4</v>
      </c>
      <c r="E5" s="71"/>
      <c r="F5" s="72" t="s">
        <v>5</v>
      </c>
      <c r="G5" s="73"/>
      <c r="H5" s="70" t="s">
        <v>6</v>
      </c>
      <c r="I5" s="71"/>
      <c r="J5" s="72" t="s">
        <v>7</v>
      </c>
      <c r="K5" s="73"/>
    </row>
    <row r="6" spans="1:11" x14ac:dyDescent="0.3">
      <c r="A6" s="3" t="s">
        <v>1</v>
      </c>
      <c r="B6" s="68" t="s">
        <v>8</v>
      </c>
      <c r="C6" s="69"/>
      <c r="D6" s="68" t="s">
        <v>8</v>
      </c>
      <c r="E6" s="69"/>
      <c r="F6" s="68" t="s">
        <v>8</v>
      </c>
      <c r="G6" s="69"/>
      <c r="H6" s="68" t="s">
        <v>8</v>
      </c>
      <c r="I6" s="69"/>
      <c r="J6" s="68" t="s">
        <v>8</v>
      </c>
      <c r="K6" s="69"/>
    </row>
    <row r="7" spans="1:11" x14ac:dyDescent="0.3">
      <c r="A7" s="3" t="s">
        <v>2</v>
      </c>
      <c r="B7" s="4" t="s">
        <v>9</v>
      </c>
      <c r="C7" s="4" t="s">
        <v>10</v>
      </c>
      <c r="D7" s="4" t="s">
        <v>9</v>
      </c>
      <c r="E7" s="4" t="s">
        <v>10</v>
      </c>
      <c r="F7" s="4" t="s">
        <v>9</v>
      </c>
      <c r="G7" s="4" t="s">
        <v>10</v>
      </c>
      <c r="H7" s="4" t="s">
        <v>9</v>
      </c>
      <c r="I7" s="4" t="s">
        <v>10</v>
      </c>
      <c r="J7" s="4" t="s">
        <v>9</v>
      </c>
      <c r="K7" s="4" t="s">
        <v>10</v>
      </c>
    </row>
    <row r="8" spans="1:11" x14ac:dyDescent="0.3">
      <c r="A8" s="5" t="s">
        <v>11</v>
      </c>
      <c r="B8" s="6"/>
      <c r="C8" s="7">
        <v>15236761.25</v>
      </c>
      <c r="D8" s="8"/>
      <c r="E8" s="9">
        <v>15201975.199999999</v>
      </c>
      <c r="F8" s="6"/>
      <c r="G8" s="7">
        <v>15192424.75</v>
      </c>
      <c r="H8" s="8"/>
      <c r="I8" s="9">
        <v>14852684.800000001</v>
      </c>
      <c r="J8" s="6"/>
      <c r="K8" s="7">
        <v>14417329.060000001</v>
      </c>
    </row>
    <row r="9" spans="1:11" x14ac:dyDescent="0.3">
      <c r="A9" s="12" t="s">
        <v>12</v>
      </c>
      <c r="B9" s="19"/>
      <c r="C9" s="20">
        <v>876</v>
      </c>
      <c r="D9" s="21"/>
      <c r="E9" s="22">
        <v>876</v>
      </c>
      <c r="F9" s="19"/>
      <c r="G9" s="20">
        <v>876</v>
      </c>
      <c r="H9" s="21"/>
      <c r="I9" s="22">
        <v>876</v>
      </c>
      <c r="J9" s="19"/>
      <c r="K9" s="20">
        <v>876</v>
      </c>
    </row>
    <row r="10" spans="1:11" x14ac:dyDescent="0.3">
      <c r="A10" s="12" t="s">
        <v>165</v>
      </c>
      <c r="B10" s="19"/>
      <c r="C10" s="20">
        <v>1994536</v>
      </c>
      <c r="D10" s="21"/>
      <c r="E10" s="22">
        <v>1994536</v>
      </c>
      <c r="F10" s="19"/>
      <c r="G10" s="20">
        <v>1994536</v>
      </c>
      <c r="H10" s="21"/>
      <c r="I10" s="22">
        <v>1994536</v>
      </c>
      <c r="J10" s="19"/>
      <c r="K10" s="20">
        <v>1994536</v>
      </c>
    </row>
    <row r="11" spans="1:11" x14ac:dyDescent="0.3">
      <c r="A11" s="12" t="s">
        <v>166</v>
      </c>
      <c r="B11" s="19"/>
      <c r="C11" s="20">
        <v>13241349.25</v>
      </c>
      <c r="D11" s="21"/>
      <c r="E11" s="22">
        <v>13206563.199999999</v>
      </c>
      <c r="F11" s="19"/>
      <c r="G11" s="20">
        <v>13197012.75</v>
      </c>
      <c r="H11" s="21"/>
      <c r="I11" s="22">
        <v>12857272.800000001</v>
      </c>
      <c r="J11" s="19"/>
      <c r="K11" s="20">
        <v>12421917.060000001</v>
      </c>
    </row>
    <row r="12" spans="1:11" x14ac:dyDescent="0.3">
      <c r="A12" s="5" t="s">
        <v>13</v>
      </c>
      <c r="B12" s="24"/>
      <c r="C12" s="25">
        <v>400000</v>
      </c>
      <c r="D12" s="26"/>
      <c r="E12" s="27">
        <v>400000</v>
      </c>
      <c r="F12" s="24"/>
      <c r="G12" s="25">
        <v>400000</v>
      </c>
      <c r="H12" s="26"/>
      <c r="I12" s="27">
        <v>400000</v>
      </c>
      <c r="J12" s="24"/>
      <c r="K12" s="25">
        <v>400000</v>
      </c>
    </row>
    <row r="13" spans="1:11" x14ac:dyDescent="0.3">
      <c r="A13" s="28" t="s">
        <v>14</v>
      </c>
      <c r="B13" s="29"/>
      <c r="C13" s="30">
        <v>400000</v>
      </c>
      <c r="D13" s="31"/>
      <c r="E13" s="32">
        <v>400000</v>
      </c>
      <c r="F13" s="29"/>
      <c r="G13" s="30">
        <v>400000</v>
      </c>
      <c r="H13" s="31"/>
      <c r="I13" s="32">
        <v>400000</v>
      </c>
      <c r="J13" s="29"/>
      <c r="K13" s="30">
        <v>400000</v>
      </c>
    </row>
    <row r="14" spans="1:11" x14ac:dyDescent="0.3">
      <c r="A14" s="33" t="s">
        <v>167</v>
      </c>
      <c r="B14" s="15"/>
      <c r="C14" s="34">
        <v>400000</v>
      </c>
      <c r="D14" s="13"/>
      <c r="E14" s="35">
        <v>400000</v>
      </c>
      <c r="F14" s="15"/>
      <c r="G14" s="34">
        <v>400000</v>
      </c>
      <c r="H14" s="13"/>
      <c r="I14" s="35">
        <v>400000</v>
      </c>
      <c r="J14" s="15"/>
      <c r="K14" s="34">
        <v>400000</v>
      </c>
    </row>
    <row r="15" spans="1:11" x14ac:dyDescent="0.3">
      <c r="A15" s="5" t="s">
        <v>15</v>
      </c>
      <c r="B15" s="36">
        <v>953389.84</v>
      </c>
      <c r="C15" s="25">
        <v>4858856.68</v>
      </c>
      <c r="D15" s="37">
        <v>963035.02</v>
      </c>
      <c r="E15" s="27">
        <v>5352200.55</v>
      </c>
      <c r="F15" s="36">
        <v>994322.37</v>
      </c>
      <c r="G15" s="25">
        <v>5588563.6699999999</v>
      </c>
      <c r="H15" s="37">
        <v>1064062.3500000001</v>
      </c>
      <c r="I15" s="27">
        <v>5478102.4100000001</v>
      </c>
      <c r="J15" s="36">
        <v>1125791.06</v>
      </c>
      <c r="K15" s="25">
        <v>6224389.6299999999</v>
      </c>
    </row>
    <row r="16" spans="1:11" x14ac:dyDescent="0.3">
      <c r="A16" s="28" t="s">
        <v>16</v>
      </c>
      <c r="B16" s="38">
        <v>844167.89</v>
      </c>
      <c r="C16" s="30">
        <v>2214.75</v>
      </c>
      <c r="D16" s="39">
        <v>908335.31</v>
      </c>
      <c r="E16" s="32">
        <v>8886.8799999999992</v>
      </c>
      <c r="F16" s="38">
        <v>922262.37</v>
      </c>
      <c r="G16" s="30">
        <v>10488.91</v>
      </c>
      <c r="H16" s="39">
        <v>980330.35</v>
      </c>
      <c r="I16" s="32">
        <v>10601.44</v>
      </c>
      <c r="J16" s="38">
        <v>1024568.06</v>
      </c>
      <c r="K16" s="30">
        <v>11028.59</v>
      </c>
    </row>
    <row r="17" spans="1:11" x14ac:dyDescent="0.3">
      <c r="A17" s="40" t="s">
        <v>17</v>
      </c>
      <c r="B17" s="39">
        <v>844167.72</v>
      </c>
      <c r="C17" s="32">
        <v>417.03</v>
      </c>
      <c r="D17" s="38">
        <v>908335.31</v>
      </c>
      <c r="E17" s="41"/>
      <c r="F17" s="39">
        <v>921786.93</v>
      </c>
      <c r="G17" s="42"/>
      <c r="H17" s="38">
        <v>979854.37</v>
      </c>
      <c r="I17" s="41"/>
      <c r="J17" s="39">
        <v>1024092.44</v>
      </c>
      <c r="K17" s="42"/>
    </row>
    <row r="18" spans="1:11" x14ac:dyDescent="0.3">
      <c r="A18" s="43" t="s">
        <v>18</v>
      </c>
      <c r="B18" s="18">
        <v>458532.86</v>
      </c>
      <c r="C18" s="14"/>
      <c r="D18" s="17">
        <v>528060.09</v>
      </c>
      <c r="E18" s="16"/>
      <c r="F18" s="18">
        <v>578047.16</v>
      </c>
      <c r="G18" s="14"/>
      <c r="H18" s="17">
        <v>661293.79</v>
      </c>
      <c r="I18" s="16"/>
      <c r="J18" s="18">
        <v>739108.92</v>
      </c>
      <c r="K18" s="14"/>
    </row>
    <row r="19" spans="1:11" x14ac:dyDescent="0.3">
      <c r="A19" s="43" t="s">
        <v>19</v>
      </c>
      <c r="B19" s="19"/>
      <c r="C19" s="20">
        <v>408.03</v>
      </c>
      <c r="D19" s="44">
        <v>1366.13</v>
      </c>
      <c r="E19" s="23"/>
      <c r="F19" s="45">
        <v>13935.61</v>
      </c>
      <c r="G19" s="46"/>
      <c r="H19" s="44">
        <v>6640.79</v>
      </c>
      <c r="I19" s="23"/>
      <c r="J19" s="45">
        <v>19012.599999999999</v>
      </c>
      <c r="K19" s="46"/>
    </row>
    <row r="20" spans="1:11" x14ac:dyDescent="0.3">
      <c r="A20" s="47" t="s">
        <v>20</v>
      </c>
      <c r="B20" s="19"/>
      <c r="C20" s="20">
        <v>9</v>
      </c>
      <c r="D20" s="21"/>
      <c r="E20" s="23"/>
      <c r="F20" s="19"/>
      <c r="G20" s="46"/>
      <c r="H20" s="21"/>
      <c r="I20" s="23"/>
      <c r="J20" s="19"/>
      <c r="K20" s="46"/>
    </row>
    <row r="21" spans="1:11" x14ac:dyDescent="0.3">
      <c r="A21" s="48" t="s">
        <v>21</v>
      </c>
      <c r="B21" s="19"/>
      <c r="C21" s="46"/>
      <c r="D21" s="21"/>
      <c r="E21" s="23"/>
      <c r="F21" s="19"/>
      <c r="G21" s="46"/>
      <c r="H21" s="21"/>
      <c r="I21" s="23"/>
      <c r="J21" s="19"/>
      <c r="K21" s="46"/>
    </row>
    <row r="22" spans="1:11" x14ac:dyDescent="0.3">
      <c r="A22" s="48" t="s">
        <v>22</v>
      </c>
      <c r="B22" s="19"/>
      <c r="C22" s="46"/>
      <c r="D22" s="21"/>
      <c r="E22" s="23"/>
      <c r="F22" s="19"/>
      <c r="G22" s="46"/>
      <c r="H22" s="21"/>
      <c r="I22" s="23"/>
      <c r="J22" s="19"/>
      <c r="K22" s="46"/>
    </row>
    <row r="23" spans="1:11" x14ac:dyDescent="0.3">
      <c r="A23" s="43" t="s">
        <v>23</v>
      </c>
      <c r="B23" s="45">
        <v>385634.86</v>
      </c>
      <c r="C23" s="46"/>
      <c r="D23" s="44">
        <v>378909.09</v>
      </c>
      <c r="E23" s="23"/>
      <c r="F23" s="45">
        <v>329804.15999999997</v>
      </c>
      <c r="G23" s="46"/>
      <c r="H23" s="44">
        <v>311919.78999999998</v>
      </c>
      <c r="I23" s="23"/>
      <c r="J23" s="45">
        <v>265970.92</v>
      </c>
      <c r="K23" s="46"/>
    </row>
    <row r="24" spans="1:11" x14ac:dyDescent="0.3">
      <c r="A24" s="28" t="s">
        <v>24</v>
      </c>
      <c r="B24" s="49">
        <v>0.17</v>
      </c>
      <c r="C24" s="50">
        <v>0.72</v>
      </c>
      <c r="D24" s="51"/>
      <c r="E24" s="52">
        <v>0.88</v>
      </c>
      <c r="F24" s="49">
        <v>475.44</v>
      </c>
      <c r="G24" s="50">
        <v>477.91</v>
      </c>
      <c r="H24" s="53">
        <v>475.98</v>
      </c>
      <c r="I24" s="52">
        <v>477.44</v>
      </c>
      <c r="J24" s="49">
        <v>475.62</v>
      </c>
      <c r="K24" s="50">
        <v>477.59</v>
      </c>
    </row>
    <row r="25" spans="1:11" x14ac:dyDescent="0.3">
      <c r="A25" s="33" t="s">
        <v>25</v>
      </c>
      <c r="B25" s="13"/>
      <c r="C25" s="35">
        <v>0.36</v>
      </c>
      <c r="D25" s="15"/>
      <c r="E25" s="34">
        <v>0.31</v>
      </c>
      <c r="F25" s="18">
        <v>237.72</v>
      </c>
      <c r="G25" s="14"/>
      <c r="H25" s="17">
        <v>237.99</v>
      </c>
      <c r="I25" s="16"/>
      <c r="J25" s="18">
        <v>237.81</v>
      </c>
      <c r="K25" s="14"/>
    </row>
    <row r="26" spans="1:11" x14ac:dyDescent="0.3">
      <c r="A26" s="12" t="s">
        <v>26</v>
      </c>
      <c r="B26" s="45">
        <v>0.17</v>
      </c>
      <c r="C26" s="46"/>
      <c r="D26" s="21"/>
      <c r="E26" s="22">
        <v>0.26</v>
      </c>
      <c r="F26" s="19"/>
      <c r="G26" s="20">
        <v>477.91</v>
      </c>
      <c r="H26" s="21"/>
      <c r="I26" s="22">
        <v>477.44</v>
      </c>
      <c r="J26" s="19"/>
      <c r="K26" s="20">
        <v>477.59</v>
      </c>
    </row>
    <row r="27" spans="1:11" x14ac:dyDescent="0.3">
      <c r="A27" s="33" t="s">
        <v>27</v>
      </c>
      <c r="B27" s="19"/>
      <c r="C27" s="20">
        <v>0.36</v>
      </c>
      <c r="D27" s="21"/>
      <c r="E27" s="22">
        <v>0.31</v>
      </c>
      <c r="F27" s="45">
        <v>237.72</v>
      </c>
      <c r="G27" s="46"/>
      <c r="H27" s="44">
        <v>237.99</v>
      </c>
      <c r="I27" s="23"/>
      <c r="J27" s="45">
        <v>237.81</v>
      </c>
      <c r="K27" s="46"/>
    </row>
    <row r="28" spans="1:11" x14ac:dyDescent="0.3">
      <c r="A28" s="56" t="s">
        <v>28</v>
      </c>
      <c r="B28" s="54"/>
      <c r="C28" s="50">
        <v>1797</v>
      </c>
      <c r="D28" s="51"/>
      <c r="E28" s="52">
        <v>8886</v>
      </c>
      <c r="F28" s="54"/>
      <c r="G28" s="50">
        <v>10011</v>
      </c>
      <c r="H28" s="51"/>
      <c r="I28" s="52">
        <v>10124</v>
      </c>
      <c r="J28" s="54"/>
      <c r="K28" s="50">
        <v>10551</v>
      </c>
    </row>
    <row r="29" spans="1:11" x14ac:dyDescent="0.3">
      <c r="A29" s="48" t="s">
        <v>29</v>
      </c>
      <c r="B29" s="13"/>
      <c r="C29" s="14"/>
      <c r="D29" s="15"/>
      <c r="E29" s="16"/>
      <c r="F29" s="13"/>
      <c r="G29" s="14"/>
      <c r="H29" s="15"/>
      <c r="I29" s="16"/>
      <c r="J29" s="13"/>
      <c r="K29" s="14"/>
    </row>
    <row r="30" spans="1:11" x14ac:dyDescent="0.3">
      <c r="A30" s="48" t="s">
        <v>30</v>
      </c>
      <c r="B30" s="19"/>
      <c r="C30" s="20">
        <v>1797</v>
      </c>
      <c r="D30" s="21"/>
      <c r="E30" s="22">
        <v>6086</v>
      </c>
      <c r="F30" s="19"/>
      <c r="G30" s="20">
        <v>7211</v>
      </c>
      <c r="H30" s="21"/>
      <c r="I30" s="22">
        <v>7324</v>
      </c>
      <c r="J30" s="19"/>
      <c r="K30" s="20">
        <v>7751</v>
      </c>
    </row>
    <row r="31" spans="1:11" x14ac:dyDescent="0.3">
      <c r="A31" s="48" t="s">
        <v>31</v>
      </c>
      <c r="B31" s="19"/>
      <c r="C31" s="46"/>
      <c r="D31" s="21"/>
      <c r="E31" s="22">
        <v>2800</v>
      </c>
      <c r="F31" s="19"/>
      <c r="G31" s="20">
        <v>2800</v>
      </c>
      <c r="H31" s="21"/>
      <c r="I31" s="22">
        <v>2800</v>
      </c>
      <c r="J31" s="19"/>
      <c r="K31" s="20">
        <v>2800</v>
      </c>
    </row>
    <row r="32" spans="1:11" x14ac:dyDescent="0.3">
      <c r="A32" s="57" t="s">
        <v>32</v>
      </c>
      <c r="B32" s="51"/>
      <c r="C32" s="52">
        <v>1361969</v>
      </c>
      <c r="D32" s="54"/>
      <c r="E32" s="50">
        <v>1549104</v>
      </c>
      <c r="F32" s="51"/>
      <c r="G32" s="52">
        <v>1544416</v>
      </c>
      <c r="H32" s="54"/>
      <c r="I32" s="50">
        <v>1525849</v>
      </c>
      <c r="J32" s="51"/>
      <c r="K32" s="52">
        <v>1554408</v>
      </c>
    </row>
    <row r="33" spans="1:11" x14ac:dyDescent="0.3">
      <c r="A33" s="43" t="s">
        <v>33</v>
      </c>
      <c r="B33" s="15"/>
      <c r="C33" s="34">
        <v>5000</v>
      </c>
      <c r="D33" s="13"/>
      <c r="E33" s="35">
        <v>5000</v>
      </c>
      <c r="F33" s="15"/>
      <c r="G33" s="34">
        <v>5000</v>
      </c>
      <c r="H33" s="13"/>
      <c r="I33" s="35">
        <v>5000</v>
      </c>
      <c r="J33" s="15"/>
      <c r="K33" s="34">
        <v>5000</v>
      </c>
    </row>
    <row r="34" spans="1:11" x14ac:dyDescent="0.3">
      <c r="A34" s="43" t="s">
        <v>34</v>
      </c>
      <c r="B34" s="21"/>
      <c r="C34" s="22">
        <v>2034</v>
      </c>
      <c r="D34" s="19"/>
      <c r="E34" s="20">
        <v>2056</v>
      </c>
      <c r="F34" s="21"/>
      <c r="G34" s="22">
        <v>1948</v>
      </c>
      <c r="H34" s="19"/>
      <c r="I34" s="20">
        <v>1742</v>
      </c>
      <c r="J34" s="21"/>
      <c r="K34" s="22">
        <v>1954</v>
      </c>
    </row>
    <row r="35" spans="1:11" x14ac:dyDescent="0.3">
      <c r="A35" s="33" t="s">
        <v>35</v>
      </c>
      <c r="B35" s="21"/>
      <c r="C35" s="22">
        <v>48816</v>
      </c>
      <c r="D35" s="19"/>
      <c r="E35" s="20">
        <v>49344</v>
      </c>
      <c r="F35" s="21"/>
      <c r="G35" s="22">
        <v>46758</v>
      </c>
      <c r="H35" s="19"/>
      <c r="I35" s="20">
        <v>41794</v>
      </c>
      <c r="J35" s="21"/>
      <c r="K35" s="22">
        <v>46886</v>
      </c>
    </row>
    <row r="36" spans="1:11" x14ac:dyDescent="0.3">
      <c r="A36" s="43" t="s">
        <v>36</v>
      </c>
      <c r="B36" s="21"/>
      <c r="C36" s="22">
        <v>8796</v>
      </c>
      <c r="D36" s="19"/>
      <c r="E36" s="20">
        <v>8853</v>
      </c>
      <c r="F36" s="21"/>
      <c r="G36" s="22">
        <v>8323</v>
      </c>
      <c r="H36" s="19"/>
      <c r="I36" s="20">
        <v>7561</v>
      </c>
      <c r="J36" s="21"/>
      <c r="K36" s="22">
        <v>8621</v>
      </c>
    </row>
    <row r="37" spans="1:11" x14ac:dyDescent="0.3">
      <c r="A37" s="33" t="s">
        <v>37</v>
      </c>
      <c r="B37" s="21"/>
      <c r="C37" s="22">
        <v>8683</v>
      </c>
      <c r="D37" s="19"/>
      <c r="E37" s="20">
        <v>9935</v>
      </c>
      <c r="F37" s="21"/>
      <c r="G37" s="22">
        <v>11131</v>
      </c>
      <c r="H37" s="19"/>
      <c r="I37" s="20">
        <v>12221</v>
      </c>
      <c r="J37" s="21"/>
      <c r="K37" s="22">
        <v>13401</v>
      </c>
    </row>
    <row r="38" spans="1:11" x14ac:dyDescent="0.3">
      <c r="A38" s="58" t="s">
        <v>38</v>
      </c>
      <c r="B38" s="21"/>
      <c r="C38" s="22">
        <v>519780</v>
      </c>
      <c r="D38" s="19"/>
      <c r="E38" s="20">
        <v>519780</v>
      </c>
      <c r="F38" s="21"/>
      <c r="G38" s="22">
        <v>519780</v>
      </c>
      <c r="H38" s="19"/>
      <c r="I38" s="20">
        <v>519780</v>
      </c>
      <c r="J38" s="21"/>
      <c r="K38" s="22">
        <v>519780</v>
      </c>
    </row>
    <row r="39" spans="1:11" x14ac:dyDescent="0.3">
      <c r="A39" s="43" t="s">
        <v>39</v>
      </c>
      <c r="B39" s="21"/>
      <c r="C39" s="23"/>
      <c r="D39" s="19"/>
      <c r="E39" s="20">
        <v>100000</v>
      </c>
      <c r="F39" s="21"/>
      <c r="G39" s="22">
        <v>100000</v>
      </c>
      <c r="H39" s="19"/>
      <c r="I39" s="20">
        <v>100000</v>
      </c>
      <c r="J39" s="21"/>
      <c r="K39" s="22">
        <v>100000</v>
      </c>
    </row>
    <row r="40" spans="1:11" x14ac:dyDescent="0.3">
      <c r="A40" s="43" t="s">
        <v>40</v>
      </c>
      <c r="B40" s="21"/>
      <c r="C40" s="22">
        <v>425362</v>
      </c>
      <c r="D40" s="19"/>
      <c r="E40" s="20">
        <v>485381</v>
      </c>
      <c r="F40" s="21"/>
      <c r="G40" s="22">
        <v>485381</v>
      </c>
      <c r="H40" s="19"/>
      <c r="I40" s="20">
        <v>482444</v>
      </c>
      <c r="J40" s="21"/>
      <c r="K40" s="22">
        <v>481124</v>
      </c>
    </row>
    <row r="41" spans="1:11" x14ac:dyDescent="0.3">
      <c r="A41" s="43" t="s">
        <v>41</v>
      </c>
      <c r="B41" s="21"/>
      <c r="C41" s="23"/>
      <c r="D41" s="19"/>
      <c r="E41" s="46"/>
      <c r="F41" s="21"/>
      <c r="G41" s="23"/>
      <c r="H41" s="19"/>
      <c r="I41" s="46"/>
      <c r="J41" s="21"/>
      <c r="K41" s="23"/>
    </row>
    <row r="42" spans="1:11" x14ac:dyDescent="0.3">
      <c r="A42" s="43" t="s">
        <v>42</v>
      </c>
      <c r="B42" s="21"/>
      <c r="C42" s="22">
        <v>343498</v>
      </c>
      <c r="D42" s="19"/>
      <c r="E42" s="20">
        <v>368755</v>
      </c>
      <c r="F42" s="21"/>
      <c r="G42" s="22">
        <v>366095</v>
      </c>
      <c r="H42" s="19"/>
      <c r="I42" s="20">
        <v>355307</v>
      </c>
      <c r="J42" s="21"/>
      <c r="K42" s="22">
        <v>377642</v>
      </c>
    </row>
    <row r="43" spans="1:11" x14ac:dyDescent="0.3">
      <c r="A43" s="28" t="s">
        <v>43</v>
      </c>
      <c r="B43" s="53"/>
      <c r="C43" s="52">
        <f>3390226.08-109221.95</f>
        <v>3281004.13</v>
      </c>
      <c r="D43" s="49"/>
      <c r="E43" s="50">
        <f>3652731.88-54699.71</f>
        <v>3598032.17</v>
      </c>
      <c r="F43" s="53"/>
      <c r="G43" s="52">
        <f>3910538.08-72060</f>
        <v>3838478.08</v>
      </c>
      <c r="H43" s="49"/>
      <c r="I43" s="50">
        <f>3526347.36-83732</f>
        <v>3442615.36</v>
      </c>
      <c r="J43" s="53"/>
      <c r="K43" s="52">
        <f>4032240.16-101223</f>
        <v>3931017.16</v>
      </c>
    </row>
    <row r="44" spans="1:11" x14ac:dyDescent="0.3">
      <c r="A44" s="12" t="s">
        <v>44</v>
      </c>
      <c r="B44" s="19"/>
      <c r="C44" s="20">
        <v>104446.85</v>
      </c>
      <c r="D44" s="21"/>
      <c r="E44" s="22">
        <v>141477.79</v>
      </c>
      <c r="F44" s="19"/>
      <c r="G44" s="20">
        <v>123120.68</v>
      </c>
      <c r="H44" s="21"/>
      <c r="I44" s="22">
        <v>415304.61</v>
      </c>
      <c r="J44" s="19"/>
      <c r="K44" s="20">
        <v>626712.88</v>
      </c>
    </row>
    <row r="45" spans="1:11" x14ac:dyDescent="0.3">
      <c r="A45" s="5" t="s">
        <v>45</v>
      </c>
      <c r="B45" s="36">
        <v>4502896.9000000004</v>
      </c>
      <c r="C45" s="59"/>
      <c r="D45" s="37">
        <v>4502896.9000000004</v>
      </c>
      <c r="E45" s="60"/>
      <c r="F45" s="36">
        <v>4502896.9000000004</v>
      </c>
      <c r="G45" s="59"/>
      <c r="H45" s="37">
        <v>4502896.9000000004</v>
      </c>
      <c r="I45" s="60"/>
      <c r="J45" s="36">
        <v>4502896.9000000004</v>
      </c>
      <c r="K45" s="59"/>
    </row>
    <row r="46" spans="1:11" x14ac:dyDescent="0.3">
      <c r="A46" s="12" t="s">
        <v>46</v>
      </c>
      <c r="B46" s="13"/>
      <c r="C46" s="14"/>
      <c r="D46" s="15"/>
      <c r="E46" s="16"/>
      <c r="F46" s="13"/>
      <c r="G46" s="14"/>
      <c r="H46" s="15"/>
      <c r="I46" s="16"/>
      <c r="J46" s="13"/>
      <c r="K46" s="14"/>
    </row>
    <row r="47" spans="1:11" x14ac:dyDescent="0.3">
      <c r="A47" s="61" t="s">
        <v>47</v>
      </c>
      <c r="B47" s="45">
        <v>90429.8</v>
      </c>
      <c r="C47" s="46"/>
      <c r="D47" s="44">
        <v>90429.8</v>
      </c>
      <c r="E47" s="23"/>
      <c r="F47" s="45">
        <v>90429.8</v>
      </c>
      <c r="G47" s="46"/>
      <c r="H47" s="44">
        <v>90429.8</v>
      </c>
      <c r="I47" s="23"/>
      <c r="J47" s="45">
        <v>90429.8</v>
      </c>
      <c r="K47" s="46"/>
    </row>
    <row r="48" spans="1:11" x14ac:dyDescent="0.3">
      <c r="A48" s="12" t="s">
        <v>48</v>
      </c>
      <c r="B48" s="45">
        <v>609484</v>
      </c>
      <c r="C48" s="46"/>
      <c r="D48" s="44">
        <v>609484</v>
      </c>
      <c r="E48" s="23"/>
      <c r="F48" s="45">
        <v>609484</v>
      </c>
      <c r="G48" s="46"/>
      <c r="H48" s="44">
        <v>609484</v>
      </c>
      <c r="I48" s="23"/>
      <c r="J48" s="45">
        <v>609484</v>
      </c>
      <c r="K48" s="46"/>
    </row>
    <row r="49" spans="1:11" x14ac:dyDescent="0.3">
      <c r="A49" s="12" t="s">
        <v>49</v>
      </c>
      <c r="B49" s="19"/>
      <c r="C49" s="46"/>
      <c r="D49" s="21"/>
      <c r="E49" s="23"/>
      <c r="F49" s="19"/>
      <c r="G49" s="46"/>
      <c r="H49" s="21"/>
      <c r="I49" s="23"/>
      <c r="J49" s="19"/>
      <c r="K49" s="46"/>
    </row>
    <row r="50" spans="1:11" x14ac:dyDescent="0.3">
      <c r="A50" s="61" t="s">
        <v>50</v>
      </c>
      <c r="B50" s="45">
        <v>461362.6</v>
      </c>
      <c r="C50" s="46"/>
      <c r="D50" s="44">
        <v>461362.6</v>
      </c>
      <c r="E50" s="23"/>
      <c r="F50" s="45">
        <v>461362.6</v>
      </c>
      <c r="G50" s="46"/>
      <c r="H50" s="44">
        <v>461362.6</v>
      </c>
      <c r="I50" s="23"/>
      <c r="J50" s="45">
        <v>461362.6</v>
      </c>
      <c r="K50" s="46"/>
    </row>
    <row r="51" spans="1:11" x14ac:dyDescent="0.3">
      <c r="A51" s="12" t="s">
        <v>51</v>
      </c>
      <c r="B51" s="45">
        <v>1801.15</v>
      </c>
      <c r="C51" s="46"/>
      <c r="D51" s="44">
        <v>1801.15</v>
      </c>
      <c r="E51" s="23"/>
      <c r="F51" s="45">
        <v>1801.15</v>
      </c>
      <c r="G51" s="46"/>
      <c r="H51" s="44">
        <v>1801.15</v>
      </c>
      <c r="I51" s="23"/>
      <c r="J51" s="45">
        <v>1801.15</v>
      </c>
      <c r="K51" s="46"/>
    </row>
    <row r="52" spans="1:11" x14ac:dyDescent="0.3">
      <c r="A52" s="12" t="s">
        <v>52</v>
      </c>
      <c r="B52" s="45">
        <v>17714.7</v>
      </c>
      <c r="C52" s="46"/>
      <c r="D52" s="44">
        <v>17714.7</v>
      </c>
      <c r="E52" s="23"/>
      <c r="F52" s="45">
        <v>17714.7</v>
      </c>
      <c r="G52" s="46"/>
      <c r="H52" s="44">
        <v>17714.7</v>
      </c>
      <c r="I52" s="23"/>
      <c r="J52" s="45">
        <v>17714.7</v>
      </c>
      <c r="K52" s="46"/>
    </row>
    <row r="53" spans="1:11" x14ac:dyDescent="0.3">
      <c r="A53" s="12" t="s">
        <v>53</v>
      </c>
      <c r="B53" s="45">
        <v>3582.75</v>
      </c>
      <c r="C53" s="46"/>
      <c r="D53" s="44">
        <v>3582.75</v>
      </c>
      <c r="E53" s="23"/>
      <c r="F53" s="45">
        <v>3582.75</v>
      </c>
      <c r="G53" s="46"/>
      <c r="H53" s="44">
        <v>3582.75</v>
      </c>
      <c r="I53" s="23"/>
      <c r="J53" s="45">
        <v>3582.75</v>
      </c>
      <c r="K53" s="46"/>
    </row>
    <row r="54" spans="1:11" x14ac:dyDescent="0.3">
      <c r="A54" s="12" t="s">
        <v>54</v>
      </c>
      <c r="B54" s="45">
        <v>3093698.3</v>
      </c>
      <c r="C54" s="46"/>
      <c r="D54" s="44">
        <v>3093698.3</v>
      </c>
      <c r="E54" s="23"/>
      <c r="F54" s="45">
        <v>3093698.3</v>
      </c>
      <c r="G54" s="46"/>
      <c r="H54" s="44">
        <v>3093698.3</v>
      </c>
      <c r="I54" s="23"/>
      <c r="J54" s="45">
        <v>3093698.3</v>
      </c>
      <c r="K54" s="46"/>
    </row>
    <row r="55" spans="1:11" x14ac:dyDescent="0.3">
      <c r="A55" s="61" t="s">
        <v>55</v>
      </c>
      <c r="B55" s="45">
        <v>51838.95</v>
      </c>
      <c r="C55" s="46"/>
      <c r="D55" s="44">
        <v>51838.95</v>
      </c>
      <c r="E55" s="23"/>
      <c r="F55" s="45">
        <v>51838.95</v>
      </c>
      <c r="G55" s="46"/>
      <c r="H55" s="44">
        <v>51838.95</v>
      </c>
      <c r="I55" s="23"/>
      <c r="J55" s="45">
        <v>51838.95</v>
      </c>
      <c r="K55" s="46"/>
    </row>
    <row r="56" spans="1:11" x14ac:dyDescent="0.3">
      <c r="A56" s="61" t="s">
        <v>56</v>
      </c>
      <c r="B56" s="45">
        <v>3463.75</v>
      </c>
      <c r="C56" s="46"/>
      <c r="D56" s="44">
        <v>3463.75</v>
      </c>
      <c r="E56" s="23"/>
      <c r="F56" s="45">
        <v>3463.75</v>
      </c>
      <c r="G56" s="46"/>
      <c r="H56" s="44">
        <v>3463.75</v>
      </c>
      <c r="I56" s="23"/>
      <c r="J56" s="45">
        <v>3463.75</v>
      </c>
      <c r="K56" s="46"/>
    </row>
    <row r="57" spans="1:11" x14ac:dyDescent="0.3">
      <c r="A57" s="12" t="s">
        <v>57</v>
      </c>
      <c r="B57" s="45">
        <v>148000</v>
      </c>
      <c r="C57" s="46"/>
      <c r="D57" s="44">
        <v>148000</v>
      </c>
      <c r="E57" s="23"/>
      <c r="F57" s="45">
        <v>148000</v>
      </c>
      <c r="G57" s="46"/>
      <c r="H57" s="44">
        <v>148000</v>
      </c>
      <c r="I57" s="23"/>
      <c r="J57" s="45">
        <v>148000</v>
      </c>
      <c r="K57" s="46"/>
    </row>
    <row r="58" spans="1:11" x14ac:dyDescent="0.3">
      <c r="A58" s="12" t="s">
        <v>58</v>
      </c>
      <c r="B58" s="45">
        <v>4198.1499999999996</v>
      </c>
      <c r="C58" s="46"/>
      <c r="D58" s="44">
        <v>4198.1499999999996</v>
      </c>
      <c r="E58" s="23"/>
      <c r="F58" s="45">
        <v>4198.1499999999996</v>
      </c>
      <c r="G58" s="46"/>
      <c r="H58" s="44">
        <v>4198.1499999999996</v>
      </c>
      <c r="I58" s="23"/>
      <c r="J58" s="45">
        <v>4198.1499999999996</v>
      </c>
      <c r="K58" s="46"/>
    </row>
    <row r="59" spans="1:11" x14ac:dyDescent="0.3">
      <c r="A59" s="61" t="s">
        <v>59</v>
      </c>
      <c r="B59" s="45">
        <v>13796.1</v>
      </c>
      <c r="C59" s="46"/>
      <c r="D59" s="44">
        <v>13796.1</v>
      </c>
      <c r="E59" s="23"/>
      <c r="F59" s="45">
        <v>13796.1</v>
      </c>
      <c r="G59" s="46"/>
      <c r="H59" s="44">
        <v>13796.1</v>
      </c>
      <c r="I59" s="23"/>
      <c r="J59" s="45">
        <v>13796.1</v>
      </c>
      <c r="K59" s="46"/>
    </row>
    <row r="60" spans="1:11" x14ac:dyDescent="0.3">
      <c r="A60" s="12" t="s">
        <v>60</v>
      </c>
      <c r="B60" s="45">
        <v>3526.65</v>
      </c>
      <c r="C60" s="46"/>
      <c r="D60" s="44">
        <v>3526.65</v>
      </c>
      <c r="E60" s="23"/>
      <c r="F60" s="45">
        <v>3526.65</v>
      </c>
      <c r="G60" s="46"/>
      <c r="H60" s="44">
        <v>3526.65</v>
      </c>
      <c r="I60" s="23"/>
      <c r="J60" s="45">
        <v>3526.65</v>
      </c>
      <c r="K60" s="46"/>
    </row>
    <row r="61" spans="1:11" x14ac:dyDescent="0.3">
      <c r="A61" s="5" t="s">
        <v>61</v>
      </c>
      <c r="B61" s="24"/>
      <c r="C61" s="59"/>
      <c r="D61" s="26"/>
      <c r="E61" s="60"/>
      <c r="F61" s="24"/>
      <c r="G61" s="59"/>
      <c r="H61" s="37">
        <v>1500000</v>
      </c>
      <c r="I61" s="60"/>
      <c r="J61" s="36">
        <v>1600000</v>
      </c>
      <c r="K61" s="59"/>
    </row>
    <row r="62" spans="1:11" x14ac:dyDescent="0.3">
      <c r="A62" s="12" t="s">
        <v>62</v>
      </c>
      <c r="B62" s="13"/>
      <c r="C62" s="14"/>
      <c r="D62" s="15"/>
      <c r="E62" s="16"/>
      <c r="F62" s="13"/>
      <c r="G62" s="14"/>
      <c r="H62" s="17">
        <v>1000000</v>
      </c>
      <c r="I62" s="16"/>
      <c r="J62" s="18">
        <v>1000000</v>
      </c>
      <c r="K62" s="14"/>
    </row>
    <row r="63" spans="1:11" x14ac:dyDescent="0.3">
      <c r="A63" s="12" t="s">
        <v>63</v>
      </c>
      <c r="B63" s="19"/>
      <c r="C63" s="46"/>
      <c r="D63" s="21"/>
      <c r="E63" s="23"/>
      <c r="F63" s="19"/>
      <c r="G63" s="46"/>
      <c r="H63" s="44">
        <v>500000</v>
      </c>
      <c r="I63" s="23"/>
      <c r="J63" s="45">
        <v>500000</v>
      </c>
      <c r="K63" s="46"/>
    </row>
    <row r="64" spans="1:11" x14ac:dyDescent="0.3">
      <c r="A64" s="12" t="s">
        <v>64</v>
      </c>
      <c r="B64" s="19"/>
      <c r="C64" s="46"/>
      <c r="D64" s="21"/>
      <c r="E64" s="23"/>
      <c r="F64" s="19"/>
      <c r="G64" s="46"/>
      <c r="H64" s="21"/>
      <c r="I64" s="23"/>
      <c r="J64" s="19"/>
      <c r="K64" s="46"/>
    </row>
    <row r="65" spans="1:11" x14ac:dyDescent="0.3">
      <c r="A65" s="12" t="s">
        <v>65</v>
      </c>
      <c r="B65" s="19"/>
      <c r="C65" s="46"/>
      <c r="D65" s="21"/>
      <c r="E65" s="23"/>
      <c r="F65" s="19"/>
      <c r="G65" s="46"/>
      <c r="H65" s="21"/>
      <c r="I65" s="23"/>
      <c r="J65" s="45">
        <v>100000</v>
      </c>
      <c r="K65" s="46"/>
    </row>
    <row r="66" spans="1:11" x14ac:dyDescent="0.3">
      <c r="A66" s="12" t="s">
        <v>66</v>
      </c>
      <c r="B66" s="19"/>
      <c r="C66" s="46"/>
      <c r="D66" s="21"/>
      <c r="E66" s="23"/>
      <c r="F66" s="19"/>
      <c r="G66" s="46"/>
      <c r="H66" s="21"/>
      <c r="I66" s="23"/>
      <c r="J66" s="19"/>
      <c r="K66" s="46"/>
    </row>
    <row r="67" spans="1:11" x14ac:dyDescent="0.3">
      <c r="A67" s="5" t="s">
        <v>67</v>
      </c>
      <c r="B67" s="36">
        <v>15056943.18</v>
      </c>
      <c r="C67" s="25">
        <v>26072.5</v>
      </c>
      <c r="D67" s="37">
        <v>18695156.559999999</v>
      </c>
      <c r="E67" s="27">
        <v>1831226.04</v>
      </c>
      <c r="F67" s="36">
        <v>18892959.260000002</v>
      </c>
      <c r="G67" s="25">
        <v>53714.78</v>
      </c>
      <c r="H67" s="37">
        <v>17369226.120000001</v>
      </c>
      <c r="I67" s="27">
        <v>62865.78</v>
      </c>
      <c r="J67" s="36">
        <v>19112633.43</v>
      </c>
      <c r="K67" s="25">
        <v>16330.28</v>
      </c>
    </row>
    <row r="68" spans="1:11" x14ac:dyDescent="0.3">
      <c r="A68" s="28" t="s">
        <v>68</v>
      </c>
      <c r="B68" s="15"/>
      <c r="C68" s="16"/>
      <c r="D68" s="18">
        <v>790280.6</v>
      </c>
      <c r="E68" s="14"/>
      <c r="F68" s="17">
        <v>1056257.02</v>
      </c>
      <c r="G68" s="16"/>
      <c r="H68" s="18">
        <v>590131.38</v>
      </c>
      <c r="I68" s="14"/>
      <c r="J68" s="17">
        <v>694298.02</v>
      </c>
      <c r="K68" s="16"/>
    </row>
    <row r="69" spans="1:11" x14ac:dyDescent="0.3">
      <c r="A69" s="28" t="s">
        <v>69</v>
      </c>
      <c r="B69" s="51"/>
      <c r="C69" s="55"/>
      <c r="D69" s="54"/>
      <c r="E69" s="62"/>
      <c r="F69" s="51"/>
      <c r="G69" s="55"/>
      <c r="H69" s="54"/>
      <c r="I69" s="62"/>
      <c r="J69" s="51"/>
      <c r="K69" s="55"/>
    </row>
    <row r="70" spans="1:11" x14ac:dyDescent="0.3">
      <c r="A70" s="33" t="s">
        <v>70</v>
      </c>
      <c r="B70" s="15"/>
      <c r="C70" s="16"/>
      <c r="D70" s="13"/>
      <c r="E70" s="14"/>
      <c r="F70" s="15"/>
      <c r="G70" s="16"/>
      <c r="H70" s="13"/>
      <c r="I70" s="14"/>
      <c r="J70" s="15"/>
      <c r="K70" s="16"/>
    </row>
    <row r="71" spans="1:11" x14ac:dyDescent="0.3">
      <c r="A71" s="28" t="s">
        <v>71</v>
      </c>
      <c r="B71" s="53">
        <f>5556933.22-26072.5</f>
        <v>5530860.7199999997</v>
      </c>
      <c r="C71" s="52"/>
      <c r="D71" s="49">
        <f>7669596.11-1831226.04</f>
        <v>5838370.0700000003</v>
      </c>
      <c r="E71" s="50"/>
      <c r="F71" s="53">
        <f>7064392.76-53714.78</f>
        <v>7010677.9799999995</v>
      </c>
      <c r="G71" s="52"/>
      <c r="H71" s="49">
        <f>6199393.67-62865.78</f>
        <v>6136527.8899999997</v>
      </c>
      <c r="I71" s="50"/>
      <c r="J71" s="53">
        <f>6458179.85-16330.28</f>
        <v>6441849.5699999994</v>
      </c>
      <c r="K71" s="52"/>
    </row>
    <row r="72" spans="1:11" x14ac:dyDescent="0.3">
      <c r="A72" s="28" t="s">
        <v>72</v>
      </c>
      <c r="B72" s="53">
        <v>6340</v>
      </c>
      <c r="C72" s="55"/>
      <c r="D72" s="49">
        <v>3439</v>
      </c>
      <c r="E72" s="62"/>
      <c r="F72" s="53">
        <v>16232</v>
      </c>
      <c r="G72" s="55"/>
      <c r="H72" s="49">
        <v>21372</v>
      </c>
      <c r="I72" s="62"/>
      <c r="J72" s="53">
        <v>40701</v>
      </c>
      <c r="K72" s="55"/>
    </row>
    <row r="73" spans="1:11" x14ac:dyDescent="0.3">
      <c r="A73" s="12" t="s">
        <v>73</v>
      </c>
      <c r="B73" s="17">
        <v>6340</v>
      </c>
      <c r="C73" s="16"/>
      <c r="D73" s="18">
        <v>3439</v>
      </c>
      <c r="E73" s="14"/>
      <c r="F73" s="17">
        <v>16232</v>
      </c>
      <c r="G73" s="16"/>
      <c r="H73" s="18">
        <v>21372</v>
      </c>
      <c r="I73" s="14"/>
      <c r="J73" s="17">
        <v>40701</v>
      </c>
      <c r="K73" s="16"/>
    </row>
    <row r="74" spans="1:11" x14ac:dyDescent="0.3">
      <c r="A74" s="28" t="s">
        <v>74</v>
      </c>
      <c r="B74" s="53">
        <v>3797240.96</v>
      </c>
      <c r="C74" s="55"/>
      <c r="D74" s="49">
        <v>4534790.8499999996</v>
      </c>
      <c r="E74" s="62"/>
      <c r="F74" s="53">
        <v>4396515.4800000004</v>
      </c>
      <c r="G74" s="55"/>
      <c r="H74" s="49">
        <v>4195708.07</v>
      </c>
      <c r="I74" s="62"/>
      <c r="J74" s="53">
        <v>5554294.5599999996</v>
      </c>
      <c r="K74" s="55"/>
    </row>
    <row r="75" spans="1:11" x14ac:dyDescent="0.3">
      <c r="A75" s="33" t="s">
        <v>75</v>
      </c>
      <c r="B75" s="17">
        <v>3797240.96</v>
      </c>
      <c r="C75" s="16"/>
      <c r="D75" s="18">
        <v>4534790.8499999996</v>
      </c>
      <c r="E75" s="14"/>
      <c r="F75" s="17">
        <v>4396515.4800000004</v>
      </c>
      <c r="G75" s="16"/>
      <c r="H75" s="18">
        <v>4195708.07</v>
      </c>
      <c r="I75" s="14"/>
      <c r="J75" s="17">
        <v>5554294.5599999996</v>
      </c>
      <c r="K75" s="16"/>
    </row>
    <row r="76" spans="1:11" x14ac:dyDescent="0.3">
      <c r="A76" s="12" t="s">
        <v>76</v>
      </c>
      <c r="B76" s="19"/>
      <c r="C76" s="46"/>
      <c r="D76" s="21"/>
      <c r="E76" s="23"/>
      <c r="F76" s="19"/>
      <c r="G76" s="46"/>
      <c r="H76" s="21"/>
      <c r="I76" s="23"/>
      <c r="J76" s="19"/>
      <c r="K76" s="46"/>
    </row>
    <row r="77" spans="1:11" x14ac:dyDescent="0.3">
      <c r="A77" s="12" t="s">
        <v>77</v>
      </c>
      <c r="B77" s="45">
        <v>4382950</v>
      </c>
      <c r="C77" s="46"/>
      <c r="D77" s="44">
        <v>4382950</v>
      </c>
      <c r="E77" s="23"/>
      <c r="F77" s="45">
        <v>5042950</v>
      </c>
      <c r="G77" s="46"/>
      <c r="H77" s="44">
        <v>5042950</v>
      </c>
      <c r="I77" s="23"/>
      <c r="J77" s="45">
        <v>5042950</v>
      </c>
      <c r="K77" s="46"/>
    </row>
    <row r="78" spans="1:11" x14ac:dyDescent="0.3">
      <c r="A78" s="12" t="s">
        <v>78</v>
      </c>
      <c r="B78" s="45">
        <v>1252076</v>
      </c>
      <c r="C78" s="46"/>
      <c r="D78" s="44">
        <v>1252076</v>
      </c>
      <c r="E78" s="23"/>
      <c r="F78" s="45">
        <v>1252076</v>
      </c>
      <c r="G78" s="46"/>
      <c r="H78" s="44">
        <v>1252076</v>
      </c>
      <c r="I78" s="23"/>
      <c r="J78" s="45">
        <v>1252076</v>
      </c>
      <c r="K78" s="46"/>
    </row>
    <row r="79" spans="1:11" x14ac:dyDescent="0.3">
      <c r="A79" s="61" t="s">
        <v>79</v>
      </c>
      <c r="B79" s="45">
        <v>22210</v>
      </c>
      <c r="C79" s="46"/>
      <c r="D79" s="44">
        <v>22831</v>
      </c>
      <c r="E79" s="23"/>
      <c r="F79" s="45">
        <v>25343</v>
      </c>
      <c r="G79" s="46"/>
      <c r="H79" s="44">
        <v>28402</v>
      </c>
      <c r="I79" s="23"/>
      <c r="J79" s="45">
        <v>30941</v>
      </c>
      <c r="K79" s="46"/>
    </row>
    <row r="80" spans="1:11" x14ac:dyDescent="0.3">
      <c r="A80" s="61" t="s">
        <v>80</v>
      </c>
      <c r="B80" s="45">
        <v>39193</v>
      </c>
      <c r="C80" s="46"/>
      <c r="D80" s="44">
        <v>39193</v>
      </c>
      <c r="E80" s="23"/>
      <c r="F80" s="45">
        <v>39193</v>
      </c>
      <c r="G80" s="46"/>
      <c r="H80" s="44">
        <v>39193</v>
      </c>
      <c r="I80" s="23"/>
      <c r="J80" s="45">
        <v>39193</v>
      </c>
      <c r="K80" s="46"/>
    </row>
    <row r="81" spans="1:14" x14ac:dyDescent="0.3">
      <c r="A81" s="5" t="s">
        <v>81</v>
      </c>
      <c r="B81" s="24"/>
      <c r="C81" s="25">
        <v>5235101.57</v>
      </c>
      <c r="D81" s="26"/>
      <c r="E81" s="27">
        <v>6887467.3300000001</v>
      </c>
      <c r="F81" s="24"/>
      <c r="G81" s="25">
        <v>7048607.75</v>
      </c>
      <c r="H81" s="26"/>
      <c r="I81" s="27">
        <v>7248447.6900000004</v>
      </c>
      <c r="J81" s="24"/>
      <c r="K81" s="25">
        <v>7321217.8200000003</v>
      </c>
      <c r="L81" s="66" t="e">
        <f>+#REF!+#REF!+#REF!+#REF!+#REF!+#REF!+#REF!+J81+H81+F81+D81+B81</f>
        <v>#REF!</v>
      </c>
      <c r="M81" s="66" t="e">
        <f>+#REF!+#REF!+#REF!+#REF!+#REF!+#REF!+#REF!+K81+I81+G81+E81+C81</f>
        <v>#REF!</v>
      </c>
      <c r="N81" s="66" t="e">
        <f>L81-M81</f>
        <v>#REF!</v>
      </c>
    </row>
    <row r="82" spans="1:14" x14ac:dyDescent="0.3">
      <c r="A82" s="12" t="s">
        <v>82</v>
      </c>
      <c r="B82" s="13"/>
      <c r="C82" s="35">
        <v>5235101.57</v>
      </c>
      <c r="D82" s="15"/>
      <c r="E82" s="34">
        <v>6887467.3300000001</v>
      </c>
      <c r="F82" s="13"/>
      <c r="G82" s="35">
        <v>7048607.75</v>
      </c>
      <c r="H82" s="15"/>
      <c r="I82" s="34">
        <v>7248447.6900000004</v>
      </c>
      <c r="J82" s="13"/>
      <c r="K82" s="35">
        <v>7321217.8200000003</v>
      </c>
    </row>
    <row r="83" spans="1:14" x14ac:dyDescent="0.3">
      <c r="A83" s="5" t="s">
        <v>83</v>
      </c>
      <c r="B83" s="36">
        <v>2569464.39</v>
      </c>
      <c r="C83" s="25">
        <v>47728</v>
      </c>
      <c r="D83" s="37">
        <v>3535517.34</v>
      </c>
      <c r="E83" s="27">
        <v>59346</v>
      </c>
      <c r="F83" s="36">
        <v>2803404.61</v>
      </c>
      <c r="G83" s="25">
        <v>47880</v>
      </c>
      <c r="H83" s="37">
        <v>3423999.98</v>
      </c>
      <c r="I83" s="27">
        <v>58279</v>
      </c>
      <c r="J83" s="36">
        <v>2895036.88</v>
      </c>
      <c r="K83" s="25">
        <v>48378</v>
      </c>
      <c r="L83" s="66" t="e">
        <f>+#REF!+#REF!+#REF!+#REF!+#REF!+#REF!+#REF!+J83+H83+F83+D83+B83</f>
        <v>#REF!</v>
      </c>
      <c r="M83" s="66" t="e">
        <f>+#REF!+#REF!+#REF!+#REF!+#REF!+#REF!+#REF!+K83+I83+G83+E83+C83</f>
        <v>#REF!</v>
      </c>
      <c r="N83" s="66" t="e">
        <f>L83-M83</f>
        <v>#REF!</v>
      </c>
    </row>
    <row r="84" spans="1:14" x14ac:dyDescent="0.3">
      <c r="A84" s="12" t="s">
        <v>84</v>
      </c>
      <c r="B84" s="18">
        <v>253052.89</v>
      </c>
      <c r="C84" s="14"/>
      <c r="D84" s="15"/>
      <c r="E84" s="16"/>
      <c r="F84" s="13"/>
      <c r="G84" s="14"/>
      <c r="H84" s="17">
        <v>5000</v>
      </c>
      <c r="I84" s="16"/>
      <c r="J84" s="18">
        <v>1995</v>
      </c>
      <c r="K84" s="14"/>
    </row>
    <row r="85" spans="1:14" x14ac:dyDescent="0.3">
      <c r="A85" s="12" t="s">
        <v>85</v>
      </c>
      <c r="B85" s="19"/>
      <c r="C85" s="20">
        <v>47728</v>
      </c>
      <c r="D85" s="21"/>
      <c r="E85" s="22">
        <v>59346</v>
      </c>
      <c r="F85" s="19"/>
      <c r="G85" s="20">
        <v>47880</v>
      </c>
      <c r="H85" s="21"/>
      <c r="I85" s="22">
        <v>58279</v>
      </c>
      <c r="J85" s="19"/>
      <c r="K85" s="20">
        <v>48378</v>
      </c>
    </row>
    <row r="86" spans="1:14" x14ac:dyDescent="0.3">
      <c r="A86" s="12" t="s">
        <v>86</v>
      </c>
      <c r="B86" s="45">
        <v>21896.1</v>
      </c>
      <c r="C86" s="46"/>
      <c r="D86" s="44">
        <v>56130.5</v>
      </c>
      <c r="E86" s="23"/>
      <c r="F86" s="45">
        <v>5839</v>
      </c>
      <c r="G86" s="46"/>
      <c r="H86" s="44">
        <v>60319.839999999997</v>
      </c>
      <c r="I86" s="23"/>
      <c r="J86" s="45">
        <v>101088.82</v>
      </c>
      <c r="K86" s="46"/>
    </row>
    <row r="87" spans="1:14" x14ac:dyDescent="0.3">
      <c r="A87" s="12" t="s">
        <v>87</v>
      </c>
      <c r="B87" s="19"/>
      <c r="C87" s="46"/>
      <c r="D87" s="21"/>
      <c r="E87" s="23"/>
      <c r="F87" s="19"/>
      <c r="G87" s="46"/>
      <c r="H87" s="21"/>
      <c r="I87" s="23"/>
      <c r="J87" s="19"/>
      <c r="K87" s="46"/>
    </row>
    <row r="88" spans="1:14" x14ac:dyDescent="0.3">
      <c r="A88" s="12" t="s">
        <v>88</v>
      </c>
      <c r="B88" s="45">
        <v>213834.3</v>
      </c>
      <c r="C88" s="46"/>
      <c r="D88" s="44">
        <v>153532</v>
      </c>
      <c r="E88" s="23"/>
      <c r="F88" s="45">
        <v>198454</v>
      </c>
      <c r="G88" s="46"/>
      <c r="H88" s="44">
        <v>246592</v>
      </c>
      <c r="I88" s="23"/>
      <c r="J88" s="45">
        <v>168733</v>
      </c>
      <c r="K88" s="46"/>
    </row>
    <row r="89" spans="1:14" x14ac:dyDescent="0.3">
      <c r="A89" s="12" t="s">
        <v>89</v>
      </c>
      <c r="B89" s="19"/>
      <c r="C89" s="46"/>
      <c r="D89" s="44">
        <v>3572</v>
      </c>
      <c r="E89" s="23"/>
      <c r="F89" s="19"/>
      <c r="G89" s="46"/>
      <c r="H89" s="44">
        <v>4745</v>
      </c>
      <c r="I89" s="23"/>
      <c r="J89" s="45">
        <v>11222</v>
      </c>
      <c r="K89" s="46"/>
    </row>
    <row r="90" spans="1:14" x14ac:dyDescent="0.3">
      <c r="A90" s="12" t="s">
        <v>90</v>
      </c>
      <c r="B90" s="45">
        <v>97937.5</v>
      </c>
      <c r="C90" s="46"/>
      <c r="D90" s="44">
        <v>101387.5</v>
      </c>
      <c r="E90" s="23"/>
      <c r="F90" s="45">
        <v>127332.37</v>
      </c>
      <c r="G90" s="46"/>
      <c r="H90" s="44">
        <v>53225</v>
      </c>
      <c r="I90" s="23"/>
      <c r="J90" s="45">
        <v>59002</v>
      </c>
      <c r="K90" s="46"/>
    </row>
    <row r="91" spans="1:14" x14ac:dyDescent="0.3">
      <c r="A91" s="12" t="s">
        <v>91</v>
      </c>
      <c r="B91" s="45">
        <v>38600</v>
      </c>
      <c r="C91" s="46"/>
      <c r="D91" s="44">
        <v>253595.34</v>
      </c>
      <c r="E91" s="23"/>
      <c r="F91" s="45">
        <v>77779.240000000005</v>
      </c>
      <c r="G91" s="46"/>
      <c r="H91" s="44">
        <v>119618.14</v>
      </c>
      <c r="I91" s="23"/>
      <c r="J91" s="45">
        <v>134096.06</v>
      </c>
      <c r="K91" s="46"/>
    </row>
    <row r="92" spans="1:14" x14ac:dyDescent="0.3">
      <c r="A92" s="12" t="s">
        <v>92</v>
      </c>
      <c r="B92" s="45">
        <v>1944143.6</v>
      </c>
      <c r="C92" s="46"/>
      <c r="D92" s="44">
        <v>2967300</v>
      </c>
      <c r="E92" s="23"/>
      <c r="F92" s="45">
        <v>2394000</v>
      </c>
      <c r="G92" s="46"/>
      <c r="H92" s="44">
        <v>2934500</v>
      </c>
      <c r="I92" s="23"/>
      <c r="J92" s="45">
        <v>2418900</v>
      </c>
      <c r="K92" s="46"/>
    </row>
    <row r="93" spans="1:14" x14ac:dyDescent="0.3">
      <c r="A93" s="5" t="s">
        <v>93</v>
      </c>
      <c r="B93" s="36">
        <v>1550349.25</v>
      </c>
      <c r="C93" s="59"/>
      <c r="D93" s="37">
        <v>1763851</v>
      </c>
      <c r="E93" s="60"/>
      <c r="F93" s="36">
        <v>1685180</v>
      </c>
      <c r="G93" s="59"/>
      <c r="H93" s="37">
        <v>1863157.29</v>
      </c>
      <c r="I93" s="60"/>
      <c r="J93" s="36">
        <v>1792821.86</v>
      </c>
      <c r="K93" s="59"/>
      <c r="L93" s="66" t="e">
        <f>+#REF!+#REF!+#REF!+#REF!+#REF!+#REF!+#REF!+J93+H93+F93+D93+B93</f>
        <v>#REF!</v>
      </c>
      <c r="M93" s="66" t="e">
        <f>+#REF!+#REF!+#REF!+#REF!+#REF!+#REF!+#REF!+K93+I93+G93+E93+C93</f>
        <v>#REF!</v>
      </c>
      <c r="N93" s="66" t="e">
        <f>L93-M93</f>
        <v>#REF!</v>
      </c>
    </row>
    <row r="94" spans="1:14" x14ac:dyDescent="0.3">
      <c r="A94" s="12" t="s">
        <v>94</v>
      </c>
      <c r="B94" s="18">
        <v>63575</v>
      </c>
      <c r="C94" s="14"/>
      <c r="D94" s="17">
        <v>65065</v>
      </c>
      <c r="E94" s="16"/>
      <c r="F94" s="18">
        <v>102460</v>
      </c>
      <c r="G94" s="14"/>
      <c r="H94" s="17">
        <v>89415</v>
      </c>
      <c r="I94" s="16"/>
      <c r="J94" s="18">
        <v>44460</v>
      </c>
      <c r="K94" s="14"/>
    </row>
    <row r="95" spans="1:14" x14ac:dyDescent="0.3">
      <c r="A95" s="12" t="s">
        <v>95</v>
      </c>
      <c r="B95" s="45">
        <v>79208</v>
      </c>
      <c r="C95" s="46"/>
      <c r="D95" s="44">
        <v>196393</v>
      </c>
      <c r="E95" s="23"/>
      <c r="F95" s="45">
        <v>96710</v>
      </c>
      <c r="G95" s="46"/>
      <c r="H95" s="44">
        <v>85111</v>
      </c>
      <c r="I95" s="23"/>
      <c r="J95" s="45">
        <v>108352</v>
      </c>
      <c r="K95" s="46"/>
    </row>
    <row r="96" spans="1:14" x14ac:dyDescent="0.3">
      <c r="A96" s="12" t="s">
        <v>96</v>
      </c>
      <c r="B96" s="19"/>
      <c r="C96" s="46"/>
      <c r="D96" s="21"/>
      <c r="E96" s="23"/>
      <c r="F96" s="19"/>
      <c r="G96" s="46"/>
      <c r="H96" s="44">
        <v>600</v>
      </c>
      <c r="I96" s="23"/>
      <c r="J96" s="19"/>
      <c r="K96" s="46"/>
    </row>
    <row r="97" spans="1:14" x14ac:dyDescent="0.3">
      <c r="A97" s="12" t="s">
        <v>97</v>
      </c>
      <c r="B97" s="45">
        <v>179700</v>
      </c>
      <c r="C97" s="46"/>
      <c r="D97" s="44">
        <v>211290</v>
      </c>
      <c r="E97" s="23"/>
      <c r="F97" s="45">
        <v>235700</v>
      </c>
      <c r="G97" s="46"/>
      <c r="H97" s="44">
        <v>251300</v>
      </c>
      <c r="I97" s="23"/>
      <c r="J97" s="45">
        <v>273400</v>
      </c>
      <c r="K97" s="46"/>
    </row>
    <row r="98" spans="1:14" x14ac:dyDescent="0.3">
      <c r="A98" s="12" t="s">
        <v>98</v>
      </c>
      <c r="B98" s="45">
        <v>792179</v>
      </c>
      <c r="C98" s="46"/>
      <c r="D98" s="44">
        <v>786922</v>
      </c>
      <c r="E98" s="23"/>
      <c r="F98" s="45">
        <v>747439</v>
      </c>
      <c r="G98" s="46"/>
      <c r="H98" s="44">
        <v>923927</v>
      </c>
      <c r="I98" s="23"/>
      <c r="J98" s="45">
        <v>829188</v>
      </c>
      <c r="K98" s="46"/>
    </row>
    <row r="99" spans="1:14" x14ac:dyDescent="0.3">
      <c r="A99" s="12" t="s">
        <v>99</v>
      </c>
      <c r="B99" s="45">
        <v>18675.25</v>
      </c>
      <c r="C99" s="46"/>
      <c r="D99" s="21"/>
      <c r="E99" s="23"/>
      <c r="F99" s="19"/>
      <c r="G99" s="46"/>
      <c r="H99" s="44">
        <v>13937.29</v>
      </c>
      <c r="I99" s="23"/>
      <c r="J99" s="45">
        <v>20989.86</v>
      </c>
      <c r="K99" s="46"/>
    </row>
    <row r="100" spans="1:14" x14ac:dyDescent="0.3">
      <c r="A100" s="12" t="s">
        <v>100</v>
      </c>
      <c r="B100" s="45">
        <v>397362</v>
      </c>
      <c r="C100" s="46"/>
      <c r="D100" s="44">
        <v>485281</v>
      </c>
      <c r="E100" s="23"/>
      <c r="F100" s="45">
        <v>485381</v>
      </c>
      <c r="G100" s="46"/>
      <c r="H100" s="44">
        <v>476867</v>
      </c>
      <c r="I100" s="23"/>
      <c r="J100" s="45">
        <v>501747</v>
      </c>
      <c r="K100" s="46"/>
    </row>
    <row r="101" spans="1:14" x14ac:dyDescent="0.3">
      <c r="A101" s="12" t="s">
        <v>101</v>
      </c>
      <c r="B101" s="45">
        <v>10150</v>
      </c>
      <c r="C101" s="46"/>
      <c r="D101" s="44">
        <v>10400</v>
      </c>
      <c r="E101" s="23"/>
      <c r="F101" s="45">
        <v>7030</v>
      </c>
      <c r="G101" s="46"/>
      <c r="H101" s="44">
        <v>10650</v>
      </c>
      <c r="I101" s="23"/>
      <c r="J101" s="45">
        <v>9475</v>
      </c>
      <c r="K101" s="46"/>
    </row>
    <row r="102" spans="1:14" x14ac:dyDescent="0.3">
      <c r="A102" s="12" t="s">
        <v>102</v>
      </c>
      <c r="B102" s="45">
        <v>9500</v>
      </c>
      <c r="C102" s="46"/>
      <c r="D102" s="44">
        <v>8500</v>
      </c>
      <c r="E102" s="23"/>
      <c r="F102" s="45">
        <v>10460</v>
      </c>
      <c r="G102" s="46"/>
      <c r="H102" s="44">
        <v>11350</v>
      </c>
      <c r="I102" s="23"/>
      <c r="J102" s="45">
        <v>5210</v>
      </c>
      <c r="K102" s="46"/>
    </row>
    <row r="103" spans="1:14" x14ac:dyDescent="0.3">
      <c r="A103" s="5" t="s">
        <v>103</v>
      </c>
      <c r="B103" s="36">
        <v>625</v>
      </c>
      <c r="C103" s="25">
        <v>800</v>
      </c>
      <c r="D103" s="26"/>
      <c r="E103" s="60"/>
      <c r="F103" s="36">
        <v>312.5</v>
      </c>
      <c r="G103" s="25">
        <v>7800</v>
      </c>
      <c r="H103" s="37">
        <v>312.5</v>
      </c>
      <c r="I103" s="27">
        <v>13000</v>
      </c>
      <c r="J103" s="24"/>
      <c r="K103" s="25">
        <v>22050</v>
      </c>
      <c r="L103" s="66" t="e">
        <f>+#REF!+#REF!+#REF!+#REF!+#REF!+#REF!+#REF!+J103+H103+F103+D103+B103</f>
        <v>#REF!</v>
      </c>
      <c r="M103" s="66" t="e">
        <f>+#REF!+#REF!+#REF!+#REF!+#REF!+#REF!+#REF!+K103+I103+G103+E103+C103</f>
        <v>#REF!</v>
      </c>
      <c r="N103" s="66" t="e">
        <f>L103-M103</f>
        <v>#REF!</v>
      </c>
    </row>
    <row r="104" spans="1:14" x14ac:dyDescent="0.3">
      <c r="A104" s="12" t="s">
        <v>104</v>
      </c>
      <c r="B104" s="13"/>
      <c r="C104" s="35">
        <v>800</v>
      </c>
      <c r="D104" s="15"/>
      <c r="E104" s="16"/>
      <c r="F104" s="13"/>
      <c r="G104" s="35">
        <v>7800</v>
      </c>
      <c r="H104" s="15"/>
      <c r="I104" s="34">
        <v>13000</v>
      </c>
      <c r="J104" s="13"/>
      <c r="K104" s="35">
        <v>22050</v>
      </c>
      <c r="L104" s="66"/>
      <c r="M104" s="66"/>
      <c r="N104" s="66"/>
    </row>
    <row r="105" spans="1:14" x14ac:dyDescent="0.3">
      <c r="A105" s="12" t="s">
        <v>105</v>
      </c>
      <c r="B105" s="45">
        <v>625</v>
      </c>
      <c r="C105" s="46"/>
      <c r="D105" s="21"/>
      <c r="E105" s="23"/>
      <c r="F105" s="45">
        <v>312.5</v>
      </c>
      <c r="G105" s="46"/>
      <c r="H105" s="44">
        <v>312.5</v>
      </c>
      <c r="I105" s="23"/>
      <c r="J105" s="19"/>
      <c r="K105" s="46"/>
      <c r="L105" s="66"/>
      <c r="M105" s="66"/>
      <c r="N105" s="67"/>
    </row>
    <row r="106" spans="1:14" x14ac:dyDescent="0.3">
      <c r="A106" s="12" t="s">
        <v>106</v>
      </c>
      <c r="B106" s="19"/>
      <c r="C106" s="46"/>
      <c r="D106" s="21"/>
      <c r="E106" s="23"/>
      <c r="F106" s="19"/>
      <c r="G106" s="46"/>
      <c r="H106" s="21"/>
      <c r="I106" s="23"/>
      <c r="J106" s="19"/>
      <c r="K106" s="46"/>
      <c r="L106" s="66"/>
      <c r="M106" s="66"/>
      <c r="N106" s="67"/>
    </row>
    <row r="107" spans="1:14" x14ac:dyDescent="0.3">
      <c r="A107" s="12" t="s">
        <v>107</v>
      </c>
      <c r="B107" s="19"/>
      <c r="C107" s="46"/>
      <c r="D107" s="21"/>
      <c r="E107" s="23"/>
      <c r="F107" s="19"/>
      <c r="G107" s="46"/>
      <c r="H107" s="21"/>
      <c r="I107" s="23"/>
      <c r="J107" s="19"/>
      <c r="K107" s="46"/>
      <c r="L107" s="66"/>
      <c r="M107" s="66"/>
      <c r="N107" s="67"/>
    </row>
    <row r="108" spans="1:14" x14ac:dyDescent="0.3">
      <c r="A108" s="12" t="s">
        <v>108</v>
      </c>
      <c r="B108" s="19"/>
      <c r="C108" s="46"/>
      <c r="D108" s="21"/>
      <c r="E108" s="23"/>
      <c r="F108" s="19"/>
      <c r="G108" s="46"/>
      <c r="H108" s="21"/>
      <c r="I108" s="23"/>
      <c r="J108" s="19"/>
      <c r="K108" s="46"/>
      <c r="L108" s="66"/>
      <c r="M108" s="66"/>
      <c r="N108" s="67"/>
    </row>
    <row r="109" spans="1:14" x14ac:dyDescent="0.3">
      <c r="A109" s="12" t="s">
        <v>109</v>
      </c>
      <c r="B109" s="19"/>
      <c r="C109" s="46"/>
      <c r="D109" s="21"/>
      <c r="E109" s="23"/>
      <c r="F109" s="19"/>
      <c r="G109" s="46"/>
      <c r="H109" s="21"/>
      <c r="I109" s="23"/>
      <c r="J109" s="19"/>
      <c r="K109" s="46"/>
      <c r="L109" s="66"/>
      <c r="M109" s="66"/>
      <c r="N109" s="67"/>
    </row>
    <row r="110" spans="1:14" x14ac:dyDescent="0.3">
      <c r="A110" s="5" t="s">
        <v>110</v>
      </c>
      <c r="B110" s="36">
        <v>1171651.44</v>
      </c>
      <c r="C110" s="59"/>
      <c r="D110" s="37">
        <v>1053578.3899999999</v>
      </c>
      <c r="E110" s="60"/>
      <c r="F110" s="36">
        <v>1101648.54</v>
      </c>
      <c r="G110" s="25">
        <v>70.12</v>
      </c>
      <c r="H110" s="37">
        <v>1079147.29</v>
      </c>
      <c r="I110" s="27">
        <v>73.06</v>
      </c>
      <c r="J110" s="36">
        <v>1168544.9099999999</v>
      </c>
      <c r="K110" s="25">
        <v>1331.23</v>
      </c>
      <c r="L110" s="66" t="e">
        <f>+#REF!+#REF!+#REF!+#REF!+#REF!+#REF!+#REF!+J110+H110+F110+D110+B110</f>
        <v>#REF!</v>
      </c>
      <c r="M110" s="66" t="e">
        <f>+#REF!+#REF!+#REF!+#REF!+#REF!+#REF!+#REF!+K110+I110+G110+E110+C110</f>
        <v>#REF!</v>
      </c>
      <c r="N110" s="66" t="e">
        <f>L110-M110</f>
        <v>#REF!</v>
      </c>
    </row>
    <row r="111" spans="1:14" x14ac:dyDescent="0.3">
      <c r="A111" s="28" t="s">
        <v>111</v>
      </c>
      <c r="B111" s="38">
        <v>488610</v>
      </c>
      <c r="C111" s="41"/>
      <c r="D111" s="39">
        <v>494004</v>
      </c>
      <c r="E111" s="42"/>
      <c r="F111" s="38">
        <v>478564</v>
      </c>
      <c r="G111" s="41"/>
      <c r="H111" s="39">
        <v>454466</v>
      </c>
      <c r="I111" s="42"/>
      <c r="J111" s="38">
        <v>485255</v>
      </c>
      <c r="K111" s="41"/>
    </row>
    <row r="112" spans="1:14" x14ac:dyDescent="0.3">
      <c r="A112" s="43" t="s">
        <v>112</v>
      </c>
      <c r="B112" s="17">
        <v>1017</v>
      </c>
      <c r="C112" s="16"/>
      <c r="D112" s="18">
        <v>1028</v>
      </c>
      <c r="E112" s="14"/>
      <c r="F112" s="17">
        <v>974</v>
      </c>
      <c r="G112" s="16"/>
      <c r="H112" s="18">
        <v>871</v>
      </c>
      <c r="I112" s="14"/>
      <c r="J112" s="17">
        <v>977</v>
      </c>
      <c r="K112" s="16"/>
    </row>
    <row r="113" spans="1:11" x14ac:dyDescent="0.3">
      <c r="A113" s="43" t="s">
        <v>113</v>
      </c>
      <c r="B113" s="21"/>
      <c r="C113" s="23"/>
      <c r="D113" s="19"/>
      <c r="E113" s="46"/>
      <c r="F113" s="21"/>
      <c r="G113" s="23"/>
      <c r="H113" s="19"/>
      <c r="I113" s="46"/>
      <c r="J113" s="21"/>
      <c r="K113" s="23"/>
    </row>
    <row r="114" spans="1:11" x14ac:dyDescent="0.3">
      <c r="A114" s="33" t="s">
        <v>114</v>
      </c>
      <c r="B114" s="44">
        <v>1017</v>
      </c>
      <c r="C114" s="23"/>
      <c r="D114" s="45">
        <v>1028</v>
      </c>
      <c r="E114" s="46"/>
      <c r="F114" s="44">
        <v>974</v>
      </c>
      <c r="G114" s="23"/>
      <c r="H114" s="45">
        <v>871</v>
      </c>
      <c r="I114" s="46"/>
      <c r="J114" s="44">
        <v>977</v>
      </c>
      <c r="K114" s="23"/>
    </row>
    <row r="115" spans="1:11" x14ac:dyDescent="0.3">
      <c r="A115" s="12" t="s">
        <v>115</v>
      </c>
      <c r="B115" s="44">
        <v>24408</v>
      </c>
      <c r="C115" s="23"/>
      <c r="D115" s="45">
        <v>24672</v>
      </c>
      <c r="E115" s="46"/>
      <c r="F115" s="44">
        <v>23379</v>
      </c>
      <c r="G115" s="23"/>
      <c r="H115" s="45">
        <v>20897</v>
      </c>
      <c r="I115" s="46"/>
      <c r="J115" s="44">
        <v>23443</v>
      </c>
      <c r="K115" s="23"/>
    </row>
    <row r="116" spans="1:11" x14ac:dyDescent="0.3">
      <c r="A116" s="12" t="s">
        <v>116</v>
      </c>
      <c r="B116" s="44">
        <v>7142</v>
      </c>
      <c r="C116" s="23"/>
      <c r="D116" s="45">
        <v>7258</v>
      </c>
      <c r="E116" s="46"/>
      <c r="F116" s="44">
        <v>6758</v>
      </c>
      <c r="G116" s="23"/>
      <c r="H116" s="45">
        <v>6137</v>
      </c>
      <c r="I116" s="46"/>
      <c r="J116" s="44">
        <v>7000</v>
      </c>
      <c r="K116" s="23"/>
    </row>
    <row r="117" spans="1:11" x14ac:dyDescent="0.3">
      <c r="A117" s="12" t="s">
        <v>117</v>
      </c>
      <c r="B117" s="44">
        <v>611</v>
      </c>
      <c r="C117" s="23"/>
      <c r="D117" s="45">
        <v>626</v>
      </c>
      <c r="E117" s="46"/>
      <c r="F117" s="44">
        <v>598</v>
      </c>
      <c r="G117" s="23"/>
      <c r="H117" s="45">
        <v>545</v>
      </c>
      <c r="I117" s="46"/>
      <c r="J117" s="44">
        <v>590</v>
      </c>
      <c r="K117" s="23"/>
    </row>
    <row r="118" spans="1:11" x14ac:dyDescent="0.3">
      <c r="A118" s="43" t="s">
        <v>118</v>
      </c>
      <c r="B118" s="21"/>
      <c r="C118" s="23"/>
      <c r="D118" s="19"/>
      <c r="E118" s="46"/>
      <c r="F118" s="21"/>
      <c r="G118" s="23"/>
      <c r="H118" s="19"/>
      <c r="I118" s="46"/>
      <c r="J118" s="21"/>
      <c r="K118" s="23"/>
    </row>
    <row r="119" spans="1:11" x14ac:dyDescent="0.3">
      <c r="A119" s="33" t="s">
        <v>119</v>
      </c>
      <c r="B119" s="44">
        <v>454415</v>
      </c>
      <c r="C119" s="23"/>
      <c r="D119" s="45">
        <v>459392</v>
      </c>
      <c r="E119" s="46"/>
      <c r="F119" s="44">
        <v>445881</v>
      </c>
      <c r="G119" s="23"/>
      <c r="H119" s="45">
        <v>425145</v>
      </c>
      <c r="I119" s="46"/>
      <c r="J119" s="44">
        <v>452268</v>
      </c>
      <c r="K119" s="23"/>
    </row>
    <row r="120" spans="1:11" x14ac:dyDescent="0.3">
      <c r="A120" s="43" t="s">
        <v>120</v>
      </c>
      <c r="B120" s="21"/>
      <c r="C120" s="23"/>
      <c r="D120" s="19"/>
      <c r="E120" s="46"/>
      <c r="F120" s="21"/>
      <c r="G120" s="23"/>
      <c r="H120" s="19"/>
      <c r="I120" s="46"/>
      <c r="J120" s="21"/>
      <c r="K120" s="23"/>
    </row>
    <row r="121" spans="1:11" x14ac:dyDescent="0.3">
      <c r="A121" s="12" t="s">
        <v>121</v>
      </c>
      <c r="B121" s="45">
        <v>38500</v>
      </c>
      <c r="C121" s="46"/>
      <c r="D121" s="21"/>
      <c r="E121" s="23"/>
      <c r="F121" s="45">
        <v>28000</v>
      </c>
      <c r="G121" s="46"/>
      <c r="H121" s="44">
        <v>28000</v>
      </c>
      <c r="I121" s="23"/>
      <c r="J121" s="45">
        <v>28000</v>
      </c>
      <c r="K121" s="46"/>
    </row>
    <row r="122" spans="1:11" x14ac:dyDescent="0.3">
      <c r="A122" s="12" t="s">
        <v>122</v>
      </c>
      <c r="B122" s="19"/>
      <c r="C122" s="46"/>
      <c r="D122" s="21"/>
      <c r="E122" s="23"/>
      <c r="F122" s="19"/>
      <c r="G122" s="46"/>
      <c r="H122" s="21"/>
      <c r="I122" s="23"/>
      <c r="J122" s="19"/>
      <c r="K122" s="46"/>
    </row>
    <row r="123" spans="1:11" x14ac:dyDescent="0.3">
      <c r="A123" s="12" t="s">
        <v>123</v>
      </c>
      <c r="B123" s="19"/>
      <c r="C123" s="46"/>
      <c r="D123" s="21"/>
      <c r="E123" s="23"/>
      <c r="F123" s="19"/>
      <c r="G123" s="46"/>
      <c r="H123" s="21"/>
      <c r="I123" s="23"/>
      <c r="J123" s="19"/>
      <c r="K123" s="46"/>
    </row>
    <row r="124" spans="1:11" x14ac:dyDescent="0.3">
      <c r="A124" s="12" t="s">
        <v>124</v>
      </c>
      <c r="B124" s="45">
        <v>76.819999999999993</v>
      </c>
      <c r="C124" s="46"/>
      <c r="D124" s="44">
        <v>110.15</v>
      </c>
      <c r="E124" s="23"/>
      <c r="F124" s="45">
        <v>312.58</v>
      </c>
      <c r="G124" s="46"/>
      <c r="H124" s="44">
        <v>76.92</v>
      </c>
      <c r="I124" s="23"/>
      <c r="J124" s="45">
        <v>110.39</v>
      </c>
      <c r="K124" s="46"/>
    </row>
    <row r="125" spans="1:11" x14ac:dyDescent="0.3">
      <c r="A125" s="12" t="s">
        <v>125</v>
      </c>
      <c r="B125" s="45">
        <v>828</v>
      </c>
      <c r="C125" s="46"/>
      <c r="D125" s="44">
        <v>828</v>
      </c>
      <c r="E125" s="23"/>
      <c r="F125" s="45">
        <v>805.01</v>
      </c>
      <c r="G125" s="46"/>
      <c r="H125" s="44">
        <v>690.06</v>
      </c>
      <c r="I125" s="23"/>
      <c r="J125" s="45">
        <v>690.06</v>
      </c>
      <c r="K125" s="46"/>
    </row>
    <row r="126" spans="1:11" x14ac:dyDescent="0.3">
      <c r="A126" s="12" t="s">
        <v>126</v>
      </c>
      <c r="B126" s="45">
        <v>600</v>
      </c>
      <c r="C126" s="46"/>
      <c r="D126" s="21"/>
      <c r="E126" s="23"/>
      <c r="F126" s="45">
        <v>50</v>
      </c>
      <c r="G126" s="46"/>
      <c r="H126" s="44">
        <v>620</v>
      </c>
      <c r="I126" s="23"/>
      <c r="J126" s="45">
        <v>12661.02</v>
      </c>
      <c r="K126" s="46"/>
    </row>
    <row r="127" spans="1:11" x14ac:dyDescent="0.3">
      <c r="A127" s="12" t="s">
        <v>127</v>
      </c>
      <c r="B127" s="19"/>
      <c r="C127" s="46"/>
      <c r="D127" s="21"/>
      <c r="E127" s="23"/>
      <c r="F127" s="19"/>
      <c r="G127" s="46"/>
      <c r="H127" s="21"/>
      <c r="I127" s="23"/>
      <c r="J127" s="19"/>
      <c r="K127" s="46"/>
    </row>
    <row r="128" spans="1:11" x14ac:dyDescent="0.3">
      <c r="A128" s="12" t="s">
        <v>128</v>
      </c>
      <c r="B128" s="45">
        <v>490</v>
      </c>
      <c r="C128" s="46"/>
      <c r="D128" s="44">
        <v>3980</v>
      </c>
      <c r="E128" s="23"/>
      <c r="F128" s="45">
        <v>6530</v>
      </c>
      <c r="G128" s="46"/>
      <c r="H128" s="44">
        <v>6395</v>
      </c>
      <c r="I128" s="23"/>
      <c r="J128" s="45">
        <v>540</v>
      </c>
      <c r="K128" s="46"/>
    </row>
    <row r="129" spans="1:11" x14ac:dyDescent="0.3">
      <c r="A129" s="12" t="s">
        <v>129</v>
      </c>
      <c r="B129" s="45">
        <v>8000</v>
      </c>
      <c r="C129" s="46"/>
      <c r="D129" s="21"/>
      <c r="E129" s="23"/>
      <c r="F129" s="19"/>
      <c r="G129" s="46"/>
      <c r="H129" s="21"/>
      <c r="I129" s="23"/>
      <c r="J129" s="19"/>
      <c r="K129" s="46"/>
    </row>
    <row r="130" spans="1:11" x14ac:dyDescent="0.3">
      <c r="A130" s="12" t="s">
        <v>130</v>
      </c>
      <c r="B130" s="45">
        <v>8501</v>
      </c>
      <c r="C130" s="46"/>
      <c r="D130" s="44">
        <v>14329</v>
      </c>
      <c r="E130" s="23"/>
      <c r="F130" s="45">
        <v>29826</v>
      </c>
      <c r="G130" s="46"/>
      <c r="H130" s="44">
        <v>21591</v>
      </c>
      <c r="I130" s="23"/>
      <c r="J130" s="45">
        <v>19253</v>
      </c>
      <c r="K130" s="46"/>
    </row>
    <row r="131" spans="1:11" x14ac:dyDescent="0.3">
      <c r="A131" s="12" t="s">
        <v>131</v>
      </c>
      <c r="B131" s="45">
        <v>2000</v>
      </c>
      <c r="C131" s="46"/>
      <c r="D131" s="21"/>
      <c r="E131" s="23"/>
      <c r="F131" s="19"/>
      <c r="G131" s="46"/>
      <c r="H131" s="21"/>
      <c r="I131" s="23"/>
      <c r="J131" s="19"/>
      <c r="K131" s="46"/>
    </row>
    <row r="132" spans="1:11" x14ac:dyDescent="0.3">
      <c r="A132" s="12" t="s">
        <v>132</v>
      </c>
      <c r="B132" s="19"/>
      <c r="C132" s="46"/>
      <c r="D132" s="21"/>
      <c r="E132" s="23"/>
      <c r="F132" s="19"/>
      <c r="G132" s="46"/>
      <c r="H132" s="21"/>
      <c r="I132" s="23"/>
      <c r="J132" s="19"/>
      <c r="K132" s="46"/>
    </row>
    <row r="133" spans="1:11" x14ac:dyDescent="0.3">
      <c r="A133" s="12" t="s">
        <v>133</v>
      </c>
      <c r="B133" s="19"/>
      <c r="C133" s="46"/>
      <c r="D133" s="21"/>
      <c r="E133" s="23"/>
      <c r="F133" s="19"/>
      <c r="G133" s="46"/>
      <c r="H133" s="21"/>
      <c r="I133" s="23"/>
      <c r="J133" s="19"/>
      <c r="K133" s="46"/>
    </row>
    <row r="134" spans="1:11" x14ac:dyDescent="0.3">
      <c r="A134" s="12" t="s">
        <v>134</v>
      </c>
      <c r="B134" s="19"/>
      <c r="C134" s="46"/>
      <c r="D134" s="21"/>
      <c r="E134" s="23"/>
      <c r="F134" s="19"/>
      <c r="G134" s="46"/>
      <c r="H134" s="44">
        <v>54</v>
      </c>
      <c r="I134" s="23"/>
      <c r="J134" s="19"/>
      <c r="K134" s="46"/>
    </row>
    <row r="135" spans="1:11" x14ac:dyDescent="0.3">
      <c r="A135" s="61" t="s">
        <v>135</v>
      </c>
      <c r="B135" s="19"/>
      <c r="C135" s="46"/>
      <c r="D135" s="44">
        <v>18009.439999999999</v>
      </c>
      <c r="E135" s="23"/>
      <c r="F135" s="19"/>
      <c r="G135" s="46"/>
      <c r="H135" s="21"/>
      <c r="I135" s="23"/>
      <c r="J135" s="19"/>
      <c r="K135" s="46"/>
    </row>
    <row r="136" spans="1:11" x14ac:dyDescent="0.3">
      <c r="A136" s="12" t="s">
        <v>136</v>
      </c>
      <c r="B136" s="45">
        <v>254200</v>
      </c>
      <c r="C136" s="46"/>
      <c r="D136" s="44">
        <v>170350</v>
      </c>
      <c r="E136" s="23"/>
      <c r="F136" s="45">
        <v>169300</v>
      </c>
      <c r="G136" s="46"/>
      <c r="H136" s="44">
        <v>197640</v>
      </c>
      <c r="I136" s="23"/>
      <c r="J136" s="45">
        <v>244100</v>
      </c>
      <c r="K136" s="46"/>
    </row>
    <row r="137" spans="1:11" x14ac:dyDescent="0.3">
      <c r="A137" s="12" t="s">
        <v>137</v>
      </c>
      <c r="B137" s="19"/>
      <c r="C137" s="46"/>
      <c r="D137" s="21"/>
      <c r="E137" s="23"/>
      <c r="F137" s="19"/>
      <c r="G137" s="46"/>
      <c r="H137" s="21"/>
      <c r="I137" s="23"/>
      <c r="J137" s="19"/>
      <c r="K137" s="46"/>
    </row>
    <row r="138" spans="1:11" x14ac:dyDescent="0.3">
      <c r="A138" s="61" t="s">
        <v>138</v>
      </c>
      <c r="B138" s="19"/>
      <c r="C138" s="46"/>
      <c r="D138" s="44">
        <v>200</v>
      </c>
      <c r="E138" s="23"/>
      <c r="F138" s="19"/>
      <c r="G138" s="46"/>
      <c r="H138" s="44">
        <v>3465</v>
      </c>
      <c r="I138" s="23"/>
      <c r="J138" s="19"/>
      <c r="K138" s="46"/>
    </row>
    <row r="139" spans="1:11" x14ac:dyDescent="0.3">
      <c r="A139" s="12" t="s">
        <v>139</v>
      </c>
      <c r="B139" s="45">
        <v>31645</v>
      </c>
      <c r="C139" s="46"/>
      <c r="D139" s="44">
        <v>10860</v>
      </c>
      <c r="E139" s="23"/>
      <c r="F139" s="45">
        <v>22552</v>
      </c>
      <c r="G139" s="46"/>
      <c r="H139" s="44">
        <v>11270</v>
      </c>
      <c r="I139" s="23"/>
      <c r="J139" s="45">
        <v>23711</v>
      </c>
      <c r="K139" s="46"/>
    </row>
    <row r="140" spans="1:11" x14ac:dyDescent="0.3">
      <c r="A140" s="12" t="s">
        <v>140</v>
      </c>
      <c r="B140" s="19"/>
      <c r="C140" s="46"/>
      <c r="D140" s="21"/>
      <c r="E140" s="23"/>
      <c r="F140" s="19"/>
      <c r="G140" s="46"/>
      <c r="H140" s="21"/>
      <c r="I140" s="23"/>
      <c r="J140" s="19"/>
      <c r="K140" s="46"/>
    </row>
    <row r="141" spans="1:11" x14ac:dyDescent="0.3">
      <c r="A141" s="12" t="s">
        <v>141</v>
      </c>
      <c r="B141" s="19"/>
      <c r="C141" s="46"/>
      <c r="D141" s="44">
        <v>5270</v>
      </c>
      <c r="E141" s="23"/>
      <c r="F141" s="45">
        <v>3750</v>
      </c>
      <c r="G141" s="46"/>
      <c r="H141" s="44">
        <v>1170</v>
      </c>
      <c r="I141" s="23"/>
      <c r="J141" s="45">
        <v>1840</v>
      </c>
      <c r="K141" s="46"/>
    </row>
    <row r="142" spans="1:11" x14ac:dyDescent="0.3">
      <c r="A142" s="12" t="s">
        <v>142</v>
      </c>
      <c r="B142" s="45">
        <v>4000</v>
      </c>
      <c r="C142" s="46"/>
      <c r="D142" s="21"/>
      <c r="E142" s="23"/>
      <c r="F142" s="19"/>
      <c r="G142" s="46"/>
      <c r="H142" s="21"/>
      <c r="I142" s="23"/>
      <c r="J142" s="45">
        <v>356.25</v>
      </c>
      <c r="K142" s="46"/>
    </row>
    <row r="143" spans="1:11" x14ac:dyDescent="0.3">
      <c r="A143" s="12" t="s">
        <v>143</v>
      </c>
      <c r="B143" s="45">
        <v>5350</v>
      </c>
      <c r="C143" s="46"/>
      <c r="D143" s="44">
        <v>6242.15</v>
      </c>
      <c r="E143" s="23"/>
      <c r="F143" s="45">
        <v>6172.38</v>
      </c>
      <c r="G143" s="46"/>
      <c r="H143" s="44">
        <v>9970</v>
      </c>
      <c r="I143" s="23"/>
      <c r="J143" s="45">
        <v>1250</v>
      </c>
      <c r="K143" s="46"/>
    </row>
    <row r="144" spans="1:11" x14ac:dyDescent="0.3">
      <c r="A144" s="12" t="s">
        <v>144</v>
      </c>
      <c r="B144" s="45">
        <v>3080</v>
      </c>
      <c r="C144" s="46"/>
      <c r="D144" s="21"/>
      <c r="E144" s="23"/>
      <c r="F144" s="45">
        <v>800</v>
      </c>
      <c r="G144" s="46"/>
      <c r="H144" s="44">
        <v>3000</v>
      </c>
      <c r="I144" s="23"/>
      <c r="J144" s="45">
        <v>13565</v>
      </c>
      <c r="K144" s="46"/>
    </row>
    <row r="145" spans="1:11" x14ac:dyDescent="0.3">
      <c r="A145" s="12" t="s">
        <v>145</v>
      </c>
      <c r="B145" s="45">
        <v>40</v>
      </c>
      <c r="C145" s="46"/>
      <c r="D145" s="44">
        <v>40</v>
      </c>
      <c r="E145" s="23"/>
      <c r="F145" s="45">
        <v>121.86</v>
      </c>
      <c r="G145" s="46"/>
      <c r="H145" s="44">
        <v>40</v>
      </c>
      <c r="I145" s="23"/>
      <c r="J145" s="45">
        <v>106.92</v>
      </c>
      <c r="K145" s="46"/>
    </row>
    <row r="146" spans="1:11" x14ac:dyDescent="0.3">
      <c r="A146" s="12" t="s">
        <v>146</v>
      </c>
      <c r="B146" s="45">
        <v>4200</v>
      </c>
      <c r="C146" s="46"/>
      <c r="D146" s="44">
        <v>9461.32</v>
      </c>
      <c r="E146" s="23"/>
      <c r="F146" s="19"/>
      <c r="G146" s="46"/>
      <c r="H146" s="44">
        <v>6800</v>
      </c>
      <c r="I146" s="23"/>
      <c r="J146" s="45">
        <v>9600</v>
      </c>
      <c r="K146" s="46"/>
    </row>
    <row r="147" spans="1:11" x14ac:dyDescent="0.3">
      <c r="A147" s="12" t="s">
        <v>147</v>
      </c>
      <c r="B147" s="19"/>
      <c r="C147" s="46"/>
      <c r="D147" s="21"/>
      <c r="E147" s="23"/>
      <c r="F147" s="19"/>
      <c r="G147" s="46"/>
      <c r="H147" s="21"/>
      <c r="I147" s="23"/>
      <c r="J147" s="19"/>
      <c r="K147" s="46"/>
    </row>
    <row r="148" spans="1:11" x14ac:dyDescent="0.3">
      <c r="A148" s="61" t="s">
        <v>148</v>
      </c>
      <c r="B148" s="45">
        <v>294692</v>
      </c>
      <c r="C148" s="46"/>
      <c r="D148" s="44">
        <v>294692</v>
      </c>
      <c r="E148" s="23"/>
      <c r="F148" s="45">
        <v>321215.25</v>
      </c>
      <c r="G148" s="46"/>
      <c r="H148" s="44">
        <v>321215.25</v>
      </c>
      <c r="I148" s="23"/>
      <c r="J148" s="45">
        <v>321215.25</v>
      </c>
      <c r="K148" s="46"/>
    </row>
    <row r="149" spans="1:11" x14ac:dyDescent="0.3">
      <c r="A149" s="61" t="s">
        <v>149</v>
      </c>
      <c r="B149" s="45">
        <v>75.83</v>
      </c>
      <c r="C149" s="46"/>
      <c r="D149" s="44">
        <v>212.65</v>
      </c>
      <c r="E149" s="23"/>
      <c r="F149" s="19"/>
      <c r="G149" s="20">
        <v>70.12</v>
      </c>
      <c r="H149" s="21"/>
      <c r="I149" s="22">
        <v>73.06</v>
      </c>
      <c r="J149" s="19"/>
      <c r="K149" s="20">
        <v>11.23</v>
      </c>
    </row>
    <row r="150" spans="1:11" x14ac:dyDescent="0.3">
      <c r="A150" s="12" t="s">
        <v>150</v>
      </c>
      <c r="B150" s="19"/>
      <c r="C150" s="46"/>
      <c r="D150" s="21"/>
      <c r="E150" s="23"/>
      <c r="F150" s="19"/>
      <c r="G150" s="46"/>
      <c r="H150" s="21"/>
      <c r="I150" s="23"/>
      <c r="J150" s="19"/>
      <c r="K150" s="46"/>
    </row>
    <row r="151" spans="1:11" x14ac:dyDescent="0.3">
      <c r="A151" s="12" t="s">
        <v>151</v>
      </c>
      <c r="B151" s="19"/>
      <c r="C151" s="46"/>
      <c r="D151" s="21"/>
      <c r="E151" s="23"/>
      <c r="F151" s="45">
        <v>17770</v>
      </c>
      <c r="G151" s="46"/>
      <c r="H151" s="21"/>
      <c r="I151" s="23"/>
      <c r="J151" s="19"/>
      <c r="K151" s="46"/>
    </row>
    <row r="152" spans="1:11" x14ac:dyDescent="0.3">
      <c r="A152" s="61" t="s">
        <v>152</v>
      </c>
      <c r="B152" s="45">
        <v>5255</v>
      </c>
      <c r="C152" s="46"/>
      <c r="D152" s="44">
        <v>5230</v>
      </c>
      <c r="E152" s="23"/>
      <c r="F152" s="45">
        <v>7675</v>
      </c>
      <c r="G152" s="46"/>
      <c r="H152" s="44">
        <v>6065</v>
      </c>
      <c r="I152" s="23"/>
      <c r="J152" s="45">
        <v>3785</v>
      </c>
      <c r="K152" s="46"/>
    </row>
    <row r="153" spans="1:11" x14ac:dyDescent="0.3">
      <c r="A153" s="12" t="s">
        <v>153</v>
      </c>
      <c r="B153" s="45">
        <v>2887.28</v>
      </c>
      <c r="C153" s="46"/>
      <c r="D153" s="44">
        <v>5741.88</v>
      </c>
      <c r="E153" s="23"/>
      <c r="F153" s="45">
        <v>1884.46</v>
      </c>
      <c r="G153" s="46"/>
      <c r="H153" s="44">
        <v>5299.06</v>
      </c>
      <c r="I153" s="23"/>
      <c r="J153" s="45">
        <v>2506.02</v>
      </c>
      <c r="K153" s="46"/>
    </row>
    <row r="154" spans="1:11" x14ac:dyDescent="0.3">
      <c r="A154" s="12" t="s">
        <v>154</v>
      </c>
      <c r="B154" s="19"/>
      <c r="C154" s="46"/>
      <c r="D154" s="21"/>
      <c r="E154" s="23"/>
      <c r="F154" s="19"/>
      <c r="G154" s="46"/>
      <c r="H154" s="21"/>
      <c r="I154" s="23"/>
      <c r="J154" s="19"/>
      <c r="K154" s="46"/>
    </row>
    <row r="155" spans="1:11" x14ac:dyDescent="0.3">
      <c r="A155" s="12" t="s">
        <v>155</v>
      </c>
      <c r="B155" s="19"/>
      <c r="C155" s="46"/>
      <c r="D155" s="21"/>
      <c r="E155" s="23"/>
      <c r="F155" s="19"/>
      <c r="G155" s="46"/>
      <c r="H155" s="21"/>
      <c r="I155" s="23"/>
      <c r="J155" s="19"/>
      <c r="K155" s="46"/>
    </row>
    <row r="156" spans="1:11" x14ac:dyDescent="0.3">
      <c r="A156" s="12" t="s">
        <v>156</v>
      </c>
      <c r="B156" s="19"/>
      <c r="C156" s="46"/>
      <c r="D156" s="44">
        <v>14017.8</v>
      </c>
      <c r="E156" s="23"/>
      <c r="F156" s="19"/>
      <c r="G156" s="46"/>
      <c r="H156" s="21"/>
      <c r="I156" s="23"/>
      <c r="J156" s="19"/>
      <c r="K156" s="46"/>
    </row>
    <row r="157" spans="1:11" x14ac:dyDescent="0.3">
      <c r="A157" s="12" t="s">
        <v>157</v>
      </c>
      <c r="B157" s="45">
        <v>1260</v>
      </c>
      <c r="C157" s="46"/>
      <c r="D157" s="21"/>
      <c r="E157" s="23"/>
      <c r="F157" s="45">
        <v>1320</v>
      </c>
      <c r="G157" s="46"/>
      <c r="H157" s="44">
        <v>1320</v>
      </c>
      <c r="I157" s="23"/>
      <c r="J157" s="19"/>
      <c r="K157" s="20">
        <v>1320</v>
      </c>
    </row>
    <row r="158" spans="1:11" x14ac:dyDescent="0.3">
      <c r="A158" s="12" t="s">
        <v>158</v>
      </c>
      <c r="B158" s="19"/>
      <c r="C158" s="46"/>
      <c r="D158" s="21"/>
      <c r="E158" s="23"/>
      <c r="F158" s="19"/>
      <c r="G158" s="46"/>
      <c r="H158" s="21"/>
      <c r="I158" s="23"/>
      <c r="J158" s="19"/>
      <c r="K158" s="46"/>
    </row>
    <row r="159" spans="1:11" x14ac:dyDescent="0.3">
      <c r="A159" s="12" t="s">
        <v>159</v>
      </c>
      <c r="B159" s="45">
        <v>17360.509999999998</v>
      </c>
      <c r="C159" s="46"/>
      <c r="D159" s="21"/>
      <c r="E159" s="23"/>
      <c r="F159" s="45">
        <v>5000</v>
      </c>
      <c r="G159" s="46"/>
      <c r="H159" s="21"/>
      <c r="I159" s="23"/>
      <c r="J159" s="19"/>
      <c r="K159" s="46"/>
    </row>
    <row r="160" spans="1:11" x14ac:dyDescent="0.3">
      <c r="A160" s="63" t="s">
        <v>160</v>
      </c>
      <c r="B160" s="21"/>
      <c r="C160" s="23"/>
      <c r="D160" s="19"/>
      <c r="E160" s="20">
        <v>781820.09</v>
      </c>
      <c r="F160" s="21"/>
      <c r="G160" s="22">
        <v>1641663.11</v>
      </c>
      <c r="H160" s="19"/>
      <c r="I160" s="20">
        <v>2689349.69</v>
      </c>
      <c r="J160" s="21"/>
      <c r="K160" s="22">
        <v>3746699.02</v>
      </c>
    </row>
    <row r="161" spans="1:11" x14ac:dyDescent="0.3">
      <c r="A161" s="64" t="s">
        <v>161</v>
      </c>
      <c r="B161" s="11">
        <v>25805320</v>
      </c>
      <c r="C161" s="7">
        <v>25805320</v>
      </c>
      <c r="D161" s="10">
        <v>30514035.210000001</v>
      </c>
      <c r="E161" s="9">
        <v>30514035.210000001</v>
      </c>
      <c r="F161" s="11">
        <v>29980724.18</v>
      </c>
      <c r="G161" s="7">
        <v>29980724.18</v>
      </c>
      <c r="H161" s="10">
        <v>30802802.43</v>
      </c>
      <c r="I161" s="9">
        <v>30802802.43</v>
      </c>
      <c r="J161" s="11">
        <v>32197725.039999999</v>
      </c>
      <c r="K161" s="7">
        <v>32197725.039999999</v>
      </c>
    </row>
    <row r="162" spans="1:11" x14ac:dyDescent="0.3">
      <c r="E162" s="65"/>
      <c r="F162" s="65"/>
      <c r="G162" s="65"/>
      <c r="H162" s="65"/>
      <c r="I162" s="65"/>
      <c r="J162" s="65"/>
      <c r="K162" s="65"/>
    </row>
    <row r="163" spans="1:11" x14ac:dyDescent="0.3">
      <c r="B163" s="65"/>
      <c r="C163" s="65"/>
    </row>
    <row r="164" spans="1:11" x14ac:dyDescent="0.3">
      <c r="B164" s="65"/>
      <c r="C164" s="65"/>
      <c r="E164" s="65"/>
      <c r="G164" s="65"/>
      <c r="I164" s="65"/>
      <c r="K164" s="65"/>
    </row>
  </sheetData>
  <autoFilter ref="A7:K161" xr:uid="{00000000-0001-0000-0000-000000000000}"/>
  <mergeCells count="18">
    <mergeCell ref="A1:C1"/>
    <mergeCell ref="A2:C2"/>
    <mergeCell ref="A3:C3"/>
    <mergeCell ref="B5:C5"/>
    <mergeCell ref="D5:E5"/>
    <mergeCell ref="F5:G5"/>
    <mergeCell ref="H5:I5"/>
    <mergeCell ref="J5:K5"/>
    <mergeCell ref="D4:E4"/>
    <mergeCell ref="F4:G4"/>
    <mergeCell ref="H4:I4"/>
    <mergeCell ref="J4:K4"/>
    <mergeCell ref="B4:C4"/>
    <mergeCell ref="B6:C6"/>
    <mergeCell ref="D6:E6"/>
    <mergeCell ref="F6:G6"/>
    <mergeCell ref="H6:I6"/>
    <mergeCell ref="J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Labhyansh3</dc:creator>
  <cp:lastModifiedBy>Arpit Nowlakha</cp:lastModifiedBy>
  <dcterms:created xsi:type="dcterms:W3CDTF">2026-04-11T12:49:38Z</dcterms:created>
  <dcterms:modified xsi:type="dcterms:W3CDTF">2026-04-14T19:31:10Z</dcterms:modified>
</cp:coreProperties>
</file>